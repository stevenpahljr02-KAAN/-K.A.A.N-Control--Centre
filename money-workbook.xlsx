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ADME" sheetId="2" state="visible" r:id="rId2"/>
    <sheet xmlns:r="http://schemas.openxmlformats.org/officeDocument/2006/relationships" name="Budget" sheetId="3" state="visible" r:id="rId3"/>
    <sheet xmlns:r="http://schemas.openxmlformats.org/officeDocument/2006/relationships" name="Transactions" sheetId="4" state="visible" r:id="rId4"/>
    <sheet xmlns:r="http://schemas.openxmlformats.org/officeDocument/2006/relationships" name="Bills" sheetId="5" state="visible" r:id="rId5"/>
    <sheet xmlns:r="http://schemas.openxmlformats.org/officeDocument/2006/relationships" name="Debts" sheetId="6" state="visible" r:id="rId6"/>
    <sheet xmlns:r="http://schemas.openxmlformats.org/officeDocument/2006/relationships" name="Net Worth" sheetId="7" state="visible" r:id="rId7"/>
    <sheet xmlns:r="http://schemas.openxmlformats.org/officeDocument/2006/relationships" name="Savings" sheetId="8" state="visible" r:id="rId8"/>
    <sheet xmlns:r="http://schemas.openxmlformats.org/officeDocument/2006/relationships" name="Vapes" sheetId="9" state="visible" r:id="rId9"/>
  </sheets>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quot;$&quot;#,##0.00"/>
  </numFmts>
  <fonts count="19">
    <font>
      <name val="Calibri"/>
      <family val="2"/>
      <color theme="1"/>
      <sz val="11"/>
      <scheme val="minor"/>
    </font>
    <font>
      <name val="Arial"/>
      <b val="1"/>
      <color rgb="0014140F"/>
      <sz val="16"/>
    </font>
    <font>
      <name val="Arial"/>
      <i val="1"/>
      <color rgb="00666666"/>
      <sz val="10"/>
    </font>
    <font>
      <name val="Arial"/>
      <color rgb="00000000"/>
      <sz val="10"/>
    </font>
    <font>
      <name val="Arial"/>
      <b val="1"/>
      <color rgb="00000000"/>
      <sz val="11"/>
    </font>
    <font>
      <name val="Arial"/>
      <b val="1"/>
      <color rgb="00FFFFFF"/>
      <sz val="10"/>
    </font>
    <font>
      <name val="Arial"/>
      <b val="1"/>
      <color rgb="00000000"/>
      <sz val="10"/>
    </font>
    <font>
      <name val="Arial"/>
      <color rgb="000000FF"/>
      <sz val="10"/>
    </font>
    <font>
      <name val="Arial"/>
      <color rgb="00000000"/>
      <sz val="9"/>
    </font>
    <font>
      <name val="Arial"/>
      <color rgb="00008000"/>
      <sz val="10"/>
    </font>
    <font>
      <name val="Arial"/>
      <i val="1"/>
      <color rgb="00000000"/>
      <sz val="9"/>
    </font>
    <font>
      <name val="Arial"/>
      <b val="1"/>
      <color rgb="00B4530A"/>
      <sz val="11"/>
    </font>
    <font>
      <name val="Arial"/>
      <i val="1"/>
      <color rgb="00B4530A"/>
      <sz val="9"/>
    </font>
    <font>
      <name val="Arial"/>
      <color rgb="00999999"/>
      <sz val="9"/>
    </font>
    <font>
      <name val="Arial"/>
      <b val="1"/>
      <color rgb="00B4530A"/>
      <sz val="10"/>
    </font>
    <font>
      <name val="Arial"/>
      <b val="1"/>
      <color rgb="00000000"/>
      <sz val="12"/>
    </font>
    <font>
      <name val="Arial"/>
      <b val="1"/>
      <color rgb="000F766E"/>
      <sz val="10"/>
    </font>
    <font>
      <name val="Arial"/>
      <b val="1"/>
      <color rgb="000F766E"/>
      <sz val="15"/>
    </font>
    <font>
      <name val="Arial"/>
      <b val="1"/>
      <color rgb="0014140F"/>
      <sz val="15"/>
    </font>
  </fonts>
  <fills count="5">
    <fill>
      <patternFill/>
    </fill>
    <fill>
      <patternFill patternType="gray125"/>
    </fill>
    <fill>
      <patternFill patternType="solid">
        <fgColor rgb="002A5D8A"/>
      </patternFill>
    </fill>
    <fill>
      <patternFill patternType="solid">
        <fgColor rgb="00E6E4DC"/>
      </patternFill>
    </fill>
    <fill>
      <patternFill patternType="solid">
        <fgColor rgb="00FFF3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4" fillId="3" borderId="0" pivotButton="0" quotePrefix="0" xfId="0"/>
    <xf numFmtId="0" fontId="6" fillId="0" borderId="0" pivotButton="0" quotePrefix="0" xfId="0"/>
    <xf numFmtId="164" fontId="17" fillId="0" borderId="0" pivotButton="0" quotePrefix="0" xfId="0"/>
    <xf numFmtId="1" fontId="18"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3" borderId="0" pivotButton="0" quotePrefix="0" xfId="0"/>
    <xf numFmtId="164" fontId="7" fillId="4" borderId="0" pivotButton="0" quotePrefix="0" xfId="0"/>
    <xf numFmtId="0" fontId="8" fillId="0" borderId="0" applyAlignment="1" pivotButton="0" quotePrefix="0" xfId="0">
      <alignment horizontal="left" vertical="center" wrapText="1"/>
    </xf>
    <xf numFmtId="164" fontId="6" fillId="0" borderId="0" pivotButton="0" quotePrefix="0" xfId="0"/>
    <xf numFmtId="164" fontId="9" fillId="0" borderId="0" pivotButton="0" quotePrefix="0" xfId="0"/>
    <xf numFmtId="164" fontId="0" fillId="0" borderId="0" pivotButton="0" quotePrefix="0" xfId="0"/>
    <xf numFmtId="164" fontId="4" fillId="0" borderId="0" pivotButton="0" quotePrefix="0" xfId="0"/>
    <xf numFmtId="0" fontId="10" fillId="0" borderId="0" pivotButton="0" quotePrefix="0" xfId="0"/>
    <xf numFmtId="165" fontId="10" fillId="0" borderId="0" pivotButton="0" quotePrefix="0" xfId="0"/>
    <xf numFmtId="0" fontId="11" fillId="4" borderId="0" pivotButton="0" quotePrefix="0" xfId="0"/>
    <xf numFmtId="0" fontId="10" fillId="0" borderId="0" applyAlignment="1" pivotButton="0" quotePrefix="0" xfId="0">
      <alignment horizontal="left" vertical="center" wrapText="1"/>
    </xf>
    <xf numFmtId="164" fontId="3" fillId="0" borderId="0" pivotButton="0" quotePrefix="0" xfId="0"/>
    <xf numFmtId="0" fontId="12" fillId="0" borderId="0" applyAlignment="1" pivotButton="0" quotePrefix="0" xfId="0">
      <alignment horizontal="left" vertical="center" wrapText="1"/>
    </xf>
    <xf numFmtId="166" fontId="3" fillId="0" borderId="0" pivotButton="0" quotePrefix="0" xfId="0"/>
    <xf numFmtId="0" fontId="6" fillId="0" borderId="0" applyAlignment="1" pivotButton="0" quotePrefix="0" xfId="0">
      <alignment horizontal="right"/>
    </xf>
    <xf numFmtId="166" fontId="6" fillId="0" borderId="0" pivotButton="0" quotePrefix="0" xfId="0"/>
    <xf numFmtId="166" fontId="0" fillId="0" borderId="0" pivotButton="0" quotePrefix="0" xfId="0"/>
    <xf numFmtId="166" fontId="7" fillId="4" borderId="0" pivotButton="0" quotePrefix="0" xfId="0"/>
    <xf numFmtId="0" fontId="0" fillId="0" borderId="0" applyAlignment="1" pivotButton="0" quotePrefix="0" xfId="0">
      <alignment horizontal="center"/>
    </xf>
    <xf numFmtId="0" fontId="8" fillId="0" borderId="0" pivotButton="0" quotePrefix="0" xfId="0"/>
    <xf numFmtId="0" fontId="13" fillId="0" borderId="0" pivotButton="0" quotePrefix="0" xfId="0"/>
    <xf numFmtId="165" fontId="7" fillId="0" borderId="0" pivotButton="0" quotePrefix="0" xfId="0"/>
    <xf numFmtId="164" fontId="7" fillId="0" borderId="0" pivotButton="0" quotePrefix="0" xfId="0"/>
    <xf numFmtId="165" fontId="0" fillId="0" borderId="0" pivotButton="0" quotePrefix="0" xfId="0"/>
    <xf numFmtId="164" fontId="13" fillId="0" borderId="0" pivotButton="0" quotePrefix="0" xfId="0"/>
    <xf numFmtId="0" fontId="14" fillId="0" borderId="0" pivotButton="0" quotePrefix="0" xfId="0"/>
    <xf numFmtId="164" fontId="14" fillId="0" borderId="0" pivotButton="0" quotePrefix="0" xfId="0"/>
    <xf numFmtId="0" fontId="15" fillId="0" borderId="0" pivotButton="0" quotePrefix="0" xfId="0"/>
    <xf numFmtId="164" fontId="15" fillId="0" borderId="0" pivotButton="0" quotePrefix="0" xfId="0"/>
    <xf numFmtId="0" fontId="12" fillId="0" borderId="0" pivotButton="0" quotePrefix="0" xfId="0"/>
    <xf numFmtId="164"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D23"/>
  <sheetViews>
    <sheetView showGridLines="1" workbookViewId="0">
      <selection activeCell="A1" sqref="A1"/>
    </sheetView>
  </sheetViews>
  <sheetFormatPr baseColWidth="8" defaultRowHeight="15"/>
  <cols>
    <col width="30" customWidth="1" min="1" max="1"/>
    <col width="18" customWidth="1" min="2" max="2"/>
    <col width="4" customWidth="1" min="3" max="3"/>
    <col width="30" customWidth="1" min="4" max="4"/>
    <col width="18" customWidth="1" min="5" max="5"/>
  </cols>
  <sheetData>
    <row r="1" ht="22" customHeight="1">
      <c r="A1" s="1" t="inlineStr">
        <is>
          <t>Dashboard</t>
        </is>
      </c>
    </row>
    <row r="2" ht="17" customHeight="1">
      <c r="A2" s="2" t="inlineStr">
        <is>
          <t>Your whole picture — pulled live from the other tabs.</t>
        </is>
      </c>
    </row>
    <row r="3" ht="17" customHeight="1"/>
    <row r="4" ht="17" customHeight="1">
      <c r="A4" s="3" t="inlineStr">
        <is>
          <t>THE NUMBERS THAT MATTER</t>
        </is>
      </c>
    </row>
    <row r="5" ht="17" customHeight="1"/>
    <row r="6" ht="17" customHeight="1">
      <c r="A6" s="4" t="inlineStr">
        <is>
          <t>Net worth (this month)</t>
        </is>
      </c>
      <c r="D6" s="4" t="inlineStr">
        <is>
          <t>Total owed</t>
        </is>
      </c>
    </row>
    <row r="7" ht="17" customHeight="1">
      <c r="A7" s="5">
        <f>'Net Worth'!B24</f>
        <v/>
      </c>
      <c r="D7" s="5">
        <f>Debts!B10</f>
        <v/>
      </c>
    </row>
    <row r="8" ht="17" customHeight="1">
      <c r="A8" s="2" t="inlineStr">
        <is>
          <t>climbs as debt drops</t>
        </is>
      </c>
      <c r="D8" s="2" t="inlineStr">
        <is>
          <t>Visa first</t>
        </is>
      </c>
    </row>
    <row r="9" ht="17" customHeight="1"/>
    <row r="10" ht="17" customHeight="1">
      <c r="A10" s="4" t="inlineStr">
        <is>
          <t>Monthly leftover (from pay)</t>
        </is>
      </c>
      <c r="D10" s="4" t="inlineStr">
        <is>
          <t>Consumer debt (the beatable part)</t>
        </is>
      </c>
    </row>
    <row r="11" ht="17" customHeight="1">
      <c r="A11" s="5">
        <f>Budget!B26</f>
        <v/>
      </c>
      <c r="D11" s="5">
        <f>Debts!B11</f>
        <v/>
      </c>
    </row>
    <row r="12" ht="17" customHeight="1">
      <c r="A12" s="2" t="inlineStr">
        <is>
          <t>after rent, bills, groceries</t>
        </is>
      </c>
      <c r="D12" s="2" t="inlineStr">
        <is>
          <t>Visa+Dad+PC+student</t>
        </is>
      </c>
    </row>
    <row r="13" ht="17" customHeight="1"/>
    <row r="14" ht="17" customHeight="1">
      <c r="A14" s="4" t="inlineStr">
        <is>
          <t>Vapes &amp; convenience — latest</t>
        </is>
      </c>
      <c r="D14" s="4" t="inlineStr">
        <is>
          <t>Credit score</t>
        </is>
      </c>
    </row>
    <row r="15" ht="17" customHeight="1">
      <c r="A15" s="5">
        <f>Vapes!B6</f>
        <v/>
      </c>
      <c r="D15" s="6" t="n">
        <v>715</v>
      </c>
    </row>
    <row r="16" ht="17" customHeight="1">
      <c r="A16" s="2" t="inlineStr">
        <is>
          <t>target under $300 → see Vapes tab</t>
        </is>
      </c>
      <c r="D16" s="2" t="inlineStr">
        <is>
          <t>Good — up from 630</t>
        </is>
      </c>
    </row>
    <row r="17" ht="17" customHeight="1"/>
    <row r="18" ht="17" customHeight="1">
      <c r="A18" s="3" t="inlineStr">
        <is>
          <t>THE PLAN, IN ORDER</t>
        </is>
      </c>
    </row>
    <row r="19" ht="17" customHeight="1">
      <c r="A19" s="7" t="inlineStr">
        <is>
          <t>1. Cut vapes/convenience toward $300 → frees ~$1,000/mo</t>
        </is>
      </c>
    </row>
    <row r="20" ht="17" customHeight="1">
      <c r="A20" s="7" t="inlineStr">
        <is>
          <t>2. Move Visa to CIBC 0%, then crush it</t>
        </is>
      </c>
    </row>
    <row r="21" ht="17" customHeight="1">
      <c r="A21" s="7" t="inlineStr">
        <is>
          <t>3. Build emergency fund: 1 month → 3 months (~$10k)</t>
        </is>
      </c>
    </row>
    <row r="22" ht="17" customHeight="1">
      <c r="A22" s="7" t="inlineStr">
        <is>
          <t>4. Lock protection: will, life &amp; disability check</t>
        </is>
      </c>
    </row>
    <row r="23" ht="17" customHeight="1">
      <c r="A23" s="7" t="inlineStr">
        <is>
          <t>5. RESP for your kid (free 20%), then FHSA + investing</t>
        </is>
      </c>
    </row>
  </sheetData>
  <pageMargins left="0.75" right="0.75" top="1" bottom="1" header="0.5" footer="0.5"/>
</worksheet>
</file>

<file path=xl/worksheets/sheet2.xml><?xml version="1.0" encoding="utf-8"?>
<worksheet xmlns="http://schemas.openxmlformats.org/spreadsheetml/2006/main">
  <sheetPr>
    <tabColor rgb="00B4530A"/>
    <outlinePr summaryBelow="1" summaryRight="1"/>
    <pageSetUpPr/>
  </sheetPr>
  <dimension ref="A1:C22"/>
  <sheetViews>
    <sheetView showGridLines="1" workbookViewId="0">
      <selection activeCell="A1" sqref="A1"/>
    </sheetView>
  </sheetViews>
  <sheetFormatPr baseColWidth="8" defaultRowHeight="15"/>
  <cols>
    <col width="3" customWidth="1" min="1" max="1"/>
    <col width="60" customWidth="1" min="2" max="2"/>
    <col width="30" customWidth="1" min="3" max="3"/>
  </cols>
  <sheetData>
    <row r="1" ht="22" customHeight="1">
      <c r="A1" s="1" t="inlineStr">
        <is>
          <t>Steven's Money Workbook</t>
        </is>
      </c>
    </row>
    <row r="2" ht="17" customHeight="1">
      <c r="A2" s="2" t="inlineStr">
        <is>
          <t>A companion to your Life Planner — the engine room where the numbers live.</t>
        </is>
      </c>
    </row>
    <row r="3" ht="17" customHeight="1">
      <c r="B3" s="7" t="inlineStr"/>
      <c r="C3" s="7" t="inlineStr"/>
    </row>
    <row r="4" ht="17" customHeight="1">
      <c r="B4" s="8" t="inlineStr">
        <is>
          <t>HOW TO USE THIS</t>
        </is>
      </c>
      <c r="C4" s="8" t="inlineStr"/>
    </row>
    <row r="5" ht="17" customHeight="1">
      <c r="B5" s="7" t="inlineStr">
        <is>
          <t>Tabs across the bottom. Type into the YELLOW cells; the rest calculate themselves.</t>
        </is>
      </c>
      <c r="C5" s="7" t="inlineStr"/>
    </row>
    <row r="6" ht="17" customHeight="1">
      <c r="B6" s="7" t="inlineStr">
        <is>
          <t>Blue text = a number you enter.  Black = a formula.  Green = pulled from another tab.</t>
        </is>
      </c>
      <c r="C6" s="7" t="inlineStr"/>
    </row>
    <row r="7" ht="17" customHeight="1">
      <c r="B7" s="7" t="inlineStr"/>
      <c r="C7" s="7" t="inlineStr"/>
    </row>
    <row r="8" ht="17" customHeight="1">
      <c r="B8" s="8" t="inlineStr">
        <is>
          <t>THE TABS</t>
        </is>
      </c>
      <c r="C8" s="8" t="inlineStr">
        <is>
          <t>What it does</t>
        </is>
      </c>
    </row>
    <row r="9" ht="17" customHeight="1">
      <c r="B9" s="7" t="inlineStr">
        <is>
          <t>Dashboard</t>
        </is>
      </c>
      <c r="C9" s="7" t="inlineStr">
        <is>
          <t>Your whole picture at a glance — updates from every other tab.</t>
        </is>
      </c>
    </row>
    <row r="10" ht="17" customHeight="1">
      <c r="B10" s="7" t="inlineStr">
        <is>
          <t>Budget</t>
        </is>
      </c>
      <c r="C10" s="7" t="inlineStr">
        <is>
          <t>Monthly plan vs. actual by category. 'Actual' fills in from Transactions.</t>
        </is>
      </c>
    </row>
    <row r="11" ht="17" customHeight="1">
      <c r="B11" s="7" t="inlineStr">
        <is>
          <t>Transactions</t>
        </is>
      </c>
      <c r="C11" s="7" t="inlineStr">
        <is>
          <t>Log spending here (or paste from your statement). Feeds the Budget.</t>
        </is>
      </c>
    </row>
    <row r="12" ht="17" customHeight="1">
      <c r="B12" s="7" t="inlineStr">
        <is>
          <t>Bills</t>
        </is>
      </c>
      <c r="C12" s="7" t="inlineStr">
        <is>
          <t>Every recurring bill, amount, due day, auto or manual.</t>
        </is>
      </c>
    </row>
    <row r="13" ht="17" customHeight="1">
      <c r="B13" s="7" t="inlineStr">
        <is>
          <t>Debts</t>
        </is>
      </c>
      <c r="C13" s="7" t="inlineStr">
        <is>
          <t>Payoff tracker — avalanche order (highest rate first).</t>
        </is>
      </c>
    </row>
    <row r="14" ht="17" customHeight="1">
      <c r="B14" s="7" t="inlineStr">
        <is>
          <t>Net Worth</t>
        </is>
      </c>
      <c r="C14" s="7" t="inlineStr">
        <is>
          <t>Assets minus debts, with a column per month so you watch it climb.</t>
        </is>
      </c>
    </row>
    <row r="15" ht="17" customHeight="1">
      <c r="B15" s="7" t="inlineStr">
        <is>
          <t>Savings &amp; Sinking Funds</t>
        </is>
      </c>
      <c r="C15" s="7" t="inlineStr">
        <is>
          <t>Emergency fund + money set aside monthly for irregular costs.</t>
        </is>
      </c>
    </row>
    <row r="16" ht="17" customHeight="1">
      <c r="B16" s="7" t="inlineStr">
        <is>
          <t>Vapes &amp; Convenience</t>
        </is>
      </c>
      <c r="C16" s="7" t="inlineStr">
        <is>
          <t>Your #1 target — track it falling month over month.</t>
        </is>
      </c>
    </row>
    <row r="17" ht="17" customHeight="1">
      <c r="B17" s="7" t="inlineStr"/>
      <c r="C17" s="7" t="inlineStr"/>
    </row>
    <row r="18" ht="17" customHeight="1">
      <c r="B18" s="8" t="inlineStr">
        <is>
          <t>THINGS WE ADDED THAT MOST PEOPLE MISS</t>
        </is>
      </c>
      <c r="C18" s="8" t="inlineStr"/>
    </row>
    <row r="19" ht="17" customHeight="1">
      <c r="B19" s="7" t="inlineStr">
        <is>
          <t>• Net worth tracked over TIME (not just one number) — proof you're climbing.</t>
        </is>
      </c>
      <c r="C19" s="7" t="inlineStr"/>
    </row>
    <row r="20" ht="17" customHeight="1">
      <c r="B20" s="7" t="inlineStr">
        <is>
          <t>• Sinking funds — saving monthly for irregular costs (tires, gifts, trips) so they never ambush you.</t>
        </is>
      </c>
      <c r="C20" s="7" t="inlineStr"/>
    </row>
    <row r="21" ht="17" customHeight="1">
      <c r="B21" s="7" t="inlineStr">
        <is>
          <t>• Two income streams kept separate — your pay vs. the work reimbursement.</t>
        </is>
      </c>
      <c r="C21" s="7" t="inlineStr"/>
    </row>
    <row r="22" ht="17" customHeight="1">
      <c r="B22" s="7" t="inlineStr">
        <is>
          <t>• A savings-rate % so you can see what portion of your pay you actually keep.</t>
        </is>
      </c>
      <c r="C22" s="7" t="inlineStr"/>
    </row>
  </sheetData>
  <pageMargins left="0.75" right="0.75" top="1" bottom="1" header="0.5" footer="0.5"/>
</worksheet>
</file>

<file path=xl/worksheets/sheet3.xml><?xml version="1.0" encoding="utf-8"?>
<worksheet xmlns="http://schemas.openxmlformats.org/spreadsheetml/2006/main">
  <sheetPr>
    <tabColor rgb="002A5D8A"/>
    <outlinePr summaryBelow="1" summaryRight="1"/>
    <pageSetUpPr/>
  </sheetPr>
  <dimension ref="A1:E37"/>
  <sheetViews>
    <sheetView showGridLines="1"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30" customWidth="1" min="5" max="5"/>
  </cols>
  <sheetData>
    <row r="1" ht="22" customHeight="1">
      <c r="A1" s="1" t="inlineStr">
        <is>
          <t>Monthly Budget</t>
        </is>
      </c>
    </row>
    <row r="2" ht="17" customHeight="1">
      <c r="A2" s="2" t="inlineStr">
        <is>
          <t>'Planned' = your TARGET. 'Actual' = real July spending, summed from the Transactions tab. Rent, hydro &amp; student loan are paid outside your day-to-day account, so they show their set amount. Car loan &amp; gas aren't here — your work reimbursement covers those.</t>
        </is>
      </c>
    </row>
    <row r="3" ht="17" customHeight="1"/>
    <row r="4" ht="17" customHeight="1">
      <c r="A4" s="9" t="inlineStr">
        <is>
          <t>Category</t>
        </is>
      </c>
      <c r="B4" s="9" t="inlineStr">
        <is>
          <t>Planned</t>
        </is>
      </c>
      <c r="C4" s="9" t="inlineStr">
        <is>
          <t>Actual</t>
        </is>
      </c>
      <c r="D4" s="9" t="inlineStr">
        <is>
          <t>Difference</t>
        </is>
      </c>
      <c r="E4" s="9" t="inlineStr">
        <is>
          <t>Notes</t>
        </is>
      </c>
    </row>
    <row r="5" ht="17" customHeight="1">
      <c r="A5" s="10" t="inlineStr">
        <is>
          <t>INCOME</t>
        </is>
      </c>
    </row>
    <row r="6" ht="17" customHeight="1">
      <c r="A6" s="7" t="inlineStr">
        <is>
          <t>Take-home pay (2 cheques)</t>
        </is>
      </c>
      <c r="B6" s="11" t="n">
        <v>3644</v>
      </c>
      <c r="E6" s="12" t="inlineStr">
        <is>
          <t>Net pay $1,822 × 2. More in 3-payday months + commission.</t>
        </is>
      </c>
    </row>
    <row r="7" ht="17" customHeight="1">
      <c r="A7" s="7" t="inlineStr">
        <is>
          <t>Hannah's contribution</t>
        </is>
      </c>
      <c r="B7" s="11" t="n">
        <v>1968</v>
      </c>
      <c r="E7" s="12" t="inlineStr">
        <is>
          <t>Now: her real transfers avg ~$1,968/mo (EI + child benefits). ⚠ DROPS after Oct when EI ends — see the 'After October' block below.</t>
        </is>
      </c>
    </row>
    <row r="8" ht="17" customHeight="1">
      <c r="A8" s="7" t="inlineStr">
        <is>
          <t>Instacart / side income</t>
        </is>
      </c>
      <c r="B8" s="11" t="n">
        <v>0</v>
      </c>
      <c r="E8" s="12" t="inlineStr">
        <is>
          <t>Your growth lever — fill in as it comes.</t>
        </is>
      </c>
    </row>
    <row r="9" ht="17" customHeight="1">
      <c r="A9" s="4" t="inlineStr">
        <is>
          <t>Total income</t>
        </is>
      </c>
      <c r="B9" s="13">
        <f>SUM(B6:B8)</f>
        <v/>
      </c>
    </row>
    <row r="10" ht="17" customHeight="1"/>
    <row r="11" ht="17" customHeight="1">
      <c r="A11" s="10" t="inlineStr">
        <is>
          <t>EXPENSES</t>
        </is>
      </c>
    </row>
    <row r="12" ht="17" customHeight="1">
      <c r="A12" s="7" t="inlineStr">
        <is>
          <t>Rent</t>
        </is>
      </c>
      <c r="B12" s="11" t="n">
        <v>1900</v>
      </c>
      <c r="C12" s="14">
        <f>Bills!B5</f>
        <v/>
      </c>
      <c r="D12" s="15">
        <f>B12-C12</f>
        <v/>
      </c>
      <c r="E12" s="12" t="inlineStr">
        <is>
          <t>1st (paid ~26th prior month by e-transfer)</t>
        </is>
      </c>
    </row>
    <row r="13" ht="17" customHeight="1">
      <c r="A13" s="7" t="inlineStr">
        <is>
          <t>Insurance (home+auto)</t>
        </is>
      </c>
      <c r="B13" s="11" t="n">
        <v>402.88</v>
      </c>
      <c r="C13" s="14">
        <f>SUMIF(Transactions!$C:$C,A13,Transactions!$D:$D)</f>
        <v/>
      </c>
      <c r="D13" s="15">
        <f>B13-C13</f>
        <v/>
      </c>
      <c r="E13" s="12" t="inlineStr">
        <is>
          <t>Belair, 7th — requote the auto side</t>
        </is>
      </c>
    </row>
    <row r="14" ht="17" customHeight="1">
      <c r="A14" s="7" t="inlineStr">
        <is>
          <t>Phone (Telus, both lines)</t>
        </is>
      </c>
      <c r="B14" s="11" t="n">
        <v>90</v>
      </c>
      <c r="C14" s="14">
        <f>SUMIF(Transactions!$C:$C,A14,Transactions!$D:$D)</f>
        <v/>
      </c>
      <c r="D14" s="15">
        <f>B14-C14</f>
        <v/>
      </c>
      <c r="E14" s="12" t="inlineStr">
        <is>
          <t>$35 you + $55 Hannah</t>
        </is>
      </c>
    </row>
    <row r="15" ht="17" customHeight="1">
      <c r="A15" s="7" t="inlineStr">
        <is>
          <t>Internet (Rogers)</t>
        </is>
      </c>
      <c r="B15" s="11" t="n">
        <v>90</v>
      </c>
      <c r="C15" s="14">
        <f>SUMIF(Transactions!$C:$C,A15,Transactions!$D:$D)</f>
        <v/>
      </c>
      <c r="D15" s="15">
        <f>B15-C15</f>
        <v/>
      </c>
      <c r="E15" s="12" t="inlineStr">
        <is>
          <t>TARGET — real bill is $143.99 (1.5 Gbps + $10 gateway). Downgrade the plan to hit this.</t>
        </is>
      </c>
    </row>
    <row r="16" ht="17" customHeight="1">
      <c r="A16" s="7" t="inlineStr">
        <is>
          <t>Hydro (Grandbridge)</t>
        </is>
      </c>
      <c r="B16" s="11" t="n">
        <v>115.99</v>
      </c>
      <c r="C16" s="14">
        <f>Bills!B6</f>
        <v/>
      </c>
      <c r="D16" s="15">
        <f>B16-C16</f>
        <v/>
      </c>
      <c r="E16" s="12" t="inlineStr">
        <is>
          <t>actual — $115.99 due Sep 2</t>
        </is>
      </c>
    </row>
    <row r="17" ht="17" customHeight="1">
      <c r="A17" s="7" t="inlineStr">
        <is>
          <t>Student loan</t>
        </is>
      </c>
      <c r="B17" s="11" t="n">
        <v>54</v>
      </c>
      <c r="C17" s="14">
        <f>Bills!B11*26/12</f>
        <v/>
      </c>
      <c r="D17" s="15">
        <f>B17-C17</f>
        <v/>
      </c>
      <c r="E17" s="12" t="inlineStr">
        <is>
          <t>$25 biweekly</t>
        </is>
      </c>
    </row>
    <row r="18" ht="17" customHeight="1">
      <c r="A18" s="7" t="inlineStr">
        <is>
          <t>Groceries</t>
        </is>
      </c>
      <c r="B18" s="11" t="n">
        <v>800</v>
      </c>
      <c r="C18" s="14">
        <f>SUMIF(Transactions!$C:$C,A18,Transactions!$D:$D)</f>
        <v/>
      </c>
      <c r="D18" s="15">
        <f>B18-C18</f>
        <v/>
      </c>
      <c r="E18" s="12" t="inlineStr">
        <is>
          <t>TARGET (July was $975)</t>
        </is>
      </c>
    </row>
    <row r="19" ht="17" customHeight="1">
      <c r="A19" s="7" t="inlineStr">
        <is>
          <t>Vapes &amp; convenience</t>
        </is>
      </c>
      <c r="B19" s="11" t="n">
        <v>300</v>
      </c>
      <c r="C19" s="14">
        <f>SUMIF(Transactions!$C:$C,A19,Transactions!$D:$D)</f>
        <v/>
      </c>
      <c r="D19" s="15">
        <f>B19-C19</f>
        <v/>
      </c>
      <c r="E19" s="12" t="inlineStr">
        <is>
          <t>TARGET (July was $1,205) — see Vapes tab</t>
        </is>
      </c>
    </row>
    <row r="20" ht="17" customHeight="1">
      <c r="A20" s="7" t="inlineStr">
        <is>
          <t>Takeout (personal)</t>
        </is>
      </c>
      <c r="B20" s="11" t="n">
        <v>300</v>
      </c>
      <c r="C20" s="14">
        <f>SUMIF(Transactions!$C:$C,A20,Transactions!$D:$D)</f>
        <v/>
      </c>
      <c r="D20" s="15">
        <f>B20-C20</f>
        <v/>
      </c>
      <c r="E20" s="12" t="inlineStr">
        <is>
          <t>TARGET (July was $826)</t>
        </is>
      </c>
    </row>
    <row r="21" ht="17" customHeight="1">
      <c r="A21" s="7" t="inlineStr">
        <is>
          <t>Subscriptions</t>
        </is>
      </c>
      <c r="B21" s="11" t="n">
        <v>150</v>
      </c>
      <c r="C21" s="14">
        <f>SUMIF(Transactions!$C:$C,A21,Transactions!$D:$D)</f>
        <v/>
      </c>
      <c r="D21" s="15">
        <f>B21-C21</f>
        <v/>
      </c>
      <c r="E21" s="12" t="inlineStr">
        <is>
          <t>TARGET — trim the overlap</t>
        </is>
      </c>
    </row>
    <row r="22" ht="17" customHeight="1">
      <c r="A22" s="7" t="inlineStr">
        <is>
          <t>Household / other</t>
        </is>
      </c>
      <c r="B22" s="11" t="n">
        <v>150</v>
      </c>
      <c r="C22" s="14">
        <f>SUMIF(Transactions!$C:$C,A22,Transactions!$D:$D)</f>
        <v/>
      </c>
      <c r="D22" s="15">
        <f>B22-C22</f>
        <v/>
      </c>
      <c r="E22" s="12" t="inlineStr">
        <is>
          <t>TARGET</t>
        </is>
      </c>
    </row>
    <row r="23" ht="17" customHeight="1">
      <c r="A23" s="7" t="inlineStr">
        <is>
          <t>Health / pharmacy</t>
        </is>
      </c>
      <c r="B23" s="11" t="n">
        <v>200</v>
      </c>
      <c r="C23" s="14">
        <f>SUMIF(Transactions!$C:$C,A23,Transactions!$D:$D)</f>
        <v/>
      </c>
      <c r="D23" s="15">
        <f>B23-C23</f>
        <v/>
      </c>
      <c r="E23" s="12" t="inlineStr">
        <is>
          <t>TARGET</t>
        </is>
      </c>
    </row>
    <row r="24" ht="17" customHeight="1">
      <c r="A24" s="4" t="inlineStr">
        <is>
          <t>Total expenses</t>
        </is>
      </c>
      <c r="B24" s="13">
        <f>SUM(B12:B23)</f>
        <v/>
      </c>
      <c r="C24" s="13">
        <f>SUM(C12:C23)</f>
        <v/>
      </c>
    </row>
    <row r="25" ht="17" customHeight="1"/>
    <row r="26" ht="17" customHeight="1">
      <c r="A26" s="8" t="inlineStr">
        <is>
          <t>LEFT OVER (income − expenses)</t>
        </is>
      </c>
      <c r="B26" s="16">
        <f>B9-B24</f>
        <v/>
      </c>
    </row>
    <row r="27" ht="17" customHeight="1">
      <c r="A27" s="17" t="inlineStr">
        <is>
          <t>Savings rate (leftover ÷ take-home pay)</t>
        </is>
      </c>
      <c r="B27" s="18">
        <f>IFERROR(B26/B6,0)</f>
        <v/>
      </c>
    </row>
    <row r="28" ht="17" customHeight="1"/>
    <row r="29" ht="17" customHeight="1">
      <c r="A29" s="19" t="inlineStr">
        <is>
          <t>LIFE CHANGE COMING — Hannah home, EI ends October</t>
        </is>
      </c>
    </row>
    <row r="30" ht="17" customHeight="1">
      <c r="A30" s="20" t="inlineStr">
        <is>
          <t>You both want Hannah home for the baby + homeschool. That's a real, doable choice — here's the honest math for after October:</t>
        </is>
      </c>
    </row>
    <row r="31" ht="17" customHeight="1">
      <c r="A31" s="7" t="inlineStr">
        <is>
          <t>Steven's take-home pay</t>
        </is>
      </c>
      <c r="B31" s="11" t="n">
        <v>3644</v>
      </c>
      <c r="E31" s="12" t="inlineStr">
        <is>
          <t>your pay</t>
        </is>
      </c>
    </row>
    <row r="32" ht="17" customHeight="1">
      <c r="A32" s="7" t="inlineStr">
        <is>
          <t>Child benefits (CCB, est.)</t>
        </is>
      </c>
      <c r="B32" s="11" t="n">
        <v>700</v>
      </c>
      <c r="E32" s="12" t="inlineStr">
        <is>
          <t>continues — and often RISES when income drops. Confirm your amount.</t>
        </is>
      </c>
    </row>
    <row r="33" ht="17" customHeight="1">
      <c r="A33" s="7" t="inlineStr">
        <is>
          <t>Instacart / side income</t>
        </is>
      </c>
      <c r="B33" s="11" t="n">
        <v>0</v>
      </c>
      <c r="E33" s="12" t="inlineStr">
        <is>
          <t>YOUR lever — this is what closes the gap</t>
        </is>
      </c>
    </row>
    <row r="34" ht="17" customHeight="1">
      <c r="A34" s="4" t="inlineStr">
        <is>
          <t>Income after Oct</t>
        </is>
      </c>
      <c r="B34" s="13">
        <f>SUM(B31:B33)</f>
        <v/>
      </c>
    </row>
    <row r="35" ht="17" customHeight="1">
      <c r="A35" s="7" t="inlineStr">
        <is>
          <t>Minus target expenses</t>
        </is>
      </c>
      <c r="B35" s="21">
        <f>-B24</f>
        <v/>
      </c>
    </row>
    <row r="36" ht="17" customHeight="1">
      <c r="A36" s="8" t="inlineStr">
        <is>
          <t>Left over after Oct</t>
        </is>
      </c>
      <c r="B36" s="16">
        <f>B34-B24</f>
        <v/>
      </c>
    </row>
    <row r="37" ht="17" customHeight="1">
      <c r="A37" s="22" t="inlineStr">
        <is>
          <t>If negative: a bit of Instacart + your commission months close it. The vape cut is what makes it work at all.</t>
        </is>
      </c>
    </row>
  </sheetData>
  <pageMargins left="0.75" right="0.75" top="1" bottom="1" header="0.5" footer="0.5"/>
</worksheet>
</file>

<file path=xl/worksheets/sheet4.xml><?xml version="1.0" encoding="utf-8"?>
<worksheet xmlns="http://schemas.openxmlformats.org/spreadsheetml/2006/main">
  <sheetPr>
    <tabColor rgb="00888888"/>
    <outlinePr summaryBelow="1" summaryRight="1"/>
    <pageSetUpPr/>
  </sheetPr>
  <dimension ref="A1:D189"/>
  <sheetViews>
    <sheetView showGridLines="1" workbookViewId="0">
      <pane ySplit="4" topLeftCell="A5" activePane="bottomLeft" state="frozen"/>
      <selection pane="bottomLeft" activeCell="A1" sqref="A1"/>
    </sheetView>
  </sheetViews>
  <sheetFormatPr baseColWidth="8" defaultRowHeight="15"/>
  <cols>
    <col width="13" customWidth="1" min="1" max="1"/>
    <col width="32" customWidth="1" min="2" max="2"/>
    <col width="26" customWidth="1" min="3" max="3"/>
    <col width="14" customWidth="1" min="4" max="4"/>
  </cols>
  <sheetData>
    <row r="1" ht="22" customHeight="1">
      <c r="A1" s="1" t="inlineStr">
        <is>
          <t>Transactions — July 2026 (your real spending)</t>
        </is>
      </c>
    </row>
    <row r="2" ht="17" customHeight="1">
      <c r="A2" s="2" t="inlineStr">
        <is>
          <t>Every purchase from your July statement, sorted by date. The Budget's 'Actual' column sums these by Category. Internal transfers, e-transfers, card payments &amp; the car loan are left out on purpose — this is spending, not money moving between accounts.</t>
        </is>
      </c>
    </row>
    <row r="3" ht="17" customHeight="1"/>
    <row r="4" ht="17" customHeight="1">
      <c r="A4" s="9" t="inlineStr">
        <is>
          <t>Date</t>
        </is>
      </c>
      <c r="B4" s="9" t="inlineStr">
        <is>
          <t>Description</t>
        </is>
      </c>
      <c r="C4" s="9" t="inlineStr">
        <is>
          <t>Category</t>
        </is>
      </c>
      <c r="D4" s="9" t="inlineStr">
        <is>
          <t>Amount</t>
        </is>
      </c>
    </row>
    <row r="5" ht="17" customHeight="1">
      <c r="A5" s="7" t="inlineStr">
        <is>
          <t>2026-07-02</t>
        </is>
      </c>
      <c r="B5" s="7" t="inlineStr">
        <is>
          <t>BULK BARN #639</t>
        </is>
      </c>
      <c r="C5" s="7" t="inlineStr">
        <is>
          <t>Groceries</t>
        </is>
      </c>
      <c r="D5" s="23" t="n">
        <v>89.12</v>
      </c>
    </row>
    <row r="6" ht="17" customHeight="1">
      <c r="A6" s="7" t="inlineStr">
        <is>
          <t>2026-07-02</t>
        </is>
      </c>
      <c r="B6" s="7" t="inlineStr">
        <is>
          <t>BURGER KING #29</t>
        </is>
      </c>
      <c r="C6" s="7" t="inlineStr">
        <is>
          <t>Takeout (personal)</t>
        </is>
      </c>
      <c r="D6" s="23" t="n">
        <v>38.37</v>
      </c>
    </row>
    <row r="7" ht="17" customHeight="1">
      <c r="A7" s="7" t="inlineStr">
        <is>
          <t>2026-07-02</t>
        </is>
      </c>
      <c r="B7" s="7" t="inlineStr">
        <is>
          <t>CAMBRIDGE GB 62</t>
        </is>
      </c>
      <c r="C7" s="7" t="inlineStr">
        <is>
          <t>Vapes &amp; convenience</t>
        </is>
      </c>
      <c r="D7" s="23" t="n">
        <v>66.09</v>
      </c>
    </row>
    <row r="8" ht="17" customHeight="1">
      <c r="A8" s="7" t="inlineStr">
        <is>
          <t>2026-07-02</t>
        </is>
      </c>
      <c r="B8" s="7" t="inlineStr">
        <is>
          <t>DOLLARAMA #1168</t>
        </is>
      </c>
      <c r="C8" s="7" t="inlineStr">
        <is>
          <t>Household / other</t>
        </is>
      </c>
      <c r="D8" s="23" t="n">
        <v>71.76000000000001</v>
      </c>
    </row>
    <row r="9" ht="17" customHeight="1">
      <c r="A9" s="7" t="inlineStr">
        <is>
          <t>2026-07-02</t>
        </is>
      </c>
      <c r="B9" s="7" t="inlineStr">
        <is>
          <t>GALT MINI MART</t>
        </is>
      </c>
      <c r="C9" s="7" t="inlineStr">
        <is>
          <t>Vapes &amp; convenience</t>
        </is>
      </c>
      <c r="D9" s="23" t="n">
        <v>8.449999999999999</v>
      </c>
    </row>
    <row r="10" ht="17" customHeight="1">
      <c r="A10" s="7" t="inlineStr">
        <is>
          <t>2026-07-02</t>
        </is>
      </c>
      <c r="B10" s="7" t="inlineStr">
        <is>
          <t>GALT MINI MART</t>
        </is>
      </c>
      <c r="C10" s="7" t="inlineStr">
        <is>
          <t>Vapes &amp; convenience</t>
        </is>
      </c>
      <c r="D10" s="23" t="n">
        <v>51.97</v>
      </c>
    </row>
    <row r="11" ht="17" customHeight="1">
      <c r="A11" s="7" t="inlineStr">
        <is>
          <t>2026-07-02</t>
        </is>
      </c>
      <c r="B11" s="7" t="inlineStr">
        <is>
          <t>PLAYSTATIO</t>
        </is>
      </c>
      <c r="C11" s="7" t="inlineStr">
        <is>
          <t>Subscriptions</t>
        </is>
      </c>
      <c r="D11" s="23" t="n">
        <v>23.72</v>
      </c>
    </row>
    <row r="12" ht="17" customHeight="1">
      <c r="A12" s="7" t="inlineStr">
        <is>
          <t>2026-07-02</t>
        </is>
      </c>
      <c r="B12" s="7" t="inlineStr">
        <is>
          <t>ROSS LINDSAY'</t>
        </is>
      </c>
      <c r="C12" s="7" t="inlineStr">
        <is>
          <t>Groceries</t>
        </is>
      </c>
      <c r="D12" s="23" t="n">
        <v>52.86</v>
      </c>
    </row>
    <row r="13" ht="17" customHeight="1">
      <c r="A13" s="7" t="inlineStr">
        <is>
          <t>2026-07-02</t>
        </is>
      </c>
      <c r="B13" s="7" t="inlineStr">
        <is>
          <t>SHOPPERS DRUG M</t>
        </is>
      </c>
      <c r="C13" s="7" t="inlineStr">
        <is>
          <t>Health / pharmacy</t>
        </is>
      </c>
      <c r="D13" s="23" t="n">
        <v>24.18</v>
      </c>
    </row>
    <row r="14" ht="17" customHeight="1">
      <c r="A14" s="7" t="inlineStr">
        <is>
          <t>2026-07-02</t>
        </is>
      </c>
      <c r="B14" s="7" t="inlineStr">
        <is>
          <t>TOKYO SMOKE 420</t>
        </is>
      </c>
      <c r="C14" s="7" t="inlineStr">
        <is>
          <t>Vapes &amp; convenience</t>
        </is>
      </c>
      <c r="D14" s="23" t="n">
        <v>23.73</v>
      </c>
    </row>
    <row r="15" ht="17" customHeight="1">
      <c r="A15" s="7" t="inlineStr">
        <is>
          <t>2026-07-02</t>
        </is>
      </c>
      <c r="B15" s="7" t="inlineStr">
        <is>
          <t>ZEHRS S CAMBRID</t>
        </is>
      </c>
      <c r="C15" s="7" t="inlineStr">
        <is>
          <t>Groceries</t>
        </is>
      </c>
      <c r="D15" s="23" t="n">
        <v>82.18000000000001</v>
      </c>
    </row>
    <row r="16" ht="17" customHeight="1">
      <c r="A16" s="7" t="inlineStr">
        <is>
          <t>2026-07-03</t>
        </is>
      </c>
      <c r="B16" s="7" t="inlineStr">
        <is>
          <t>FOOD BASICS 63</t>
        </is>
      </c>
      <c r="C16" s="7" t="inlineStr">
        <is>
          <t>Groceries</t>
        </is>
      </c>
      <c r="D16" s="23" t="n">
        <v>348.83</v>
      </c>
    </row>
    <row r="17" ht="17" customHeight="1">
      <c r="A17" s="7" t="inlineStr">
        <is>
          <t>2026-07-03</t>
        </is>
      </c>
      <c r="B17" s="7" t="inlineStr">
        <is>
          <t>MCDONALD'S # 11</t>
        </is>
      </c>
      <c r="C17" s="7" t="inlineStr">
        <is>
          <t>Takeout (personal)</t>
        </is>
      </c>
      <c r="D17" s="23" t="n">
        <v>10.72</v>
      </c>
    </row>
    <row r="18" ht="17" customHeight="1">
      <c r="A18" s="7" t="inlineStr">
        <is>
          <t>2026-07-03</t>
        </is>
      </c>
      <c r="B18" s="7" t="inlineStr">
        <is>
          <t>NETFLIX.COM</t>
        </is>
      </c>
      <c r="C18" s="7" t="inlineStr">
        <is>
          <t>Subscriptions</t>
        </is>
      </c>
      <c r="D18" s="23" t="n">
        <v>21.46</v>
      </c>
    </row>
    <row r="19" ht="17" customHeight="1">
      <c r="A19" s="7" t="inlineStr">
        <is>
          <t>2026-07-03</t>
        </is>
      </c>
      <c r="B19" s="7" t="inlineStr">
        <is>
          <t>TOKYO SMOKE 420</t>
        </is>
      </c>
      <c r="C19" s="7" t="inlineStr">
        <is>
          <t>Vapes &amp; convenience</t>
        </is>
      </c>
      <c r="D19" s="23" t="n">
        <v>23.73</v>
      </c>
    </row>
    <row r="20" ht="17" customHeight="1">
      <c r="A20" s="7" t="inlineStr">
        <is>
          <t>2026-07-06</t>
        </is>
      </c>
      <c r="B20" s="7" t="inlineStr">
        <is>
          <t>APPLE.COM/BILL</t>
        </is>
      </c>
      <c r="C20" s="7" t="inlineStr">
        <is>
          <t>Subscriptions</t>
        </is>
      </c>
      <c r="D20" s="23" t="n">
        <v>31.61</v>
      </c>
    </row>
    <row r="21" ht="17" customHeight="1">
      <c r="A21" s="7" t="inlineStr">
        <is>
          <t>2026-07-06</t>
        </is>
      </c>
      <c r="B21" s="7" t="inlineStr">
        <is>
          <t>BURGER KING #29</t>
        </is>
      </c>
      <c r="C21" s="7" t="inlineStr">
        <is>
          <t>Takeout (personal)</t>
        </is>
      </c>
      <c r="D21" s="23" t="n">
        <v>59.26</v>
      </c>
    </row>
    <row r="22" ht="17" customHeight="1">
      <c r="A22" s="7" t="inlineStr">
        <is>
          <t>2026-07-06</t>
        </is>
      </c>
      <c r="B22" s="7" t="inlineStr">
        <is>
          <t>GALT MINI MART</t>
        </is>
      </c>
      <c r="C22" s="7" t="inlineStr">
        <is>
          <t>Vapes &amp; convenience</t>
        </is>
      </c>
      <c r="D22" s="23" t="n">
        <v>14.78</v>
      </c>
    </row>
    <row r="23" ht="17" customHeight="1">
      <c r="A23" s="7" t="inlineStr">
        <is>
          <t>2026-07-06</t>
        </is>
      </c>
      <c r="B23" s="7" t="inlineStr">
        <is>
          <t>GALT MINI MART</t>
        </is>
      </c>
      <c r="C23" s="7" t="inlineStr">
        <is>
          <t>Vapes &amp; convenience</t>
        </is>
      </c>
      <c r="D23" s="23" t="n">
        <v>51.97</v>
      </c>
    </row>
    <row r="24" ht="17" customHeight="1">
      <c r="A24" s="7" t="inlineStr">
        <is>
          <t>2026-07-06</t>
        </is>
      </c>
      <c r="B24" s="7" t="inlineStr">
        <is>
          <t>MCDONALD'S # 11</t>
        </is>
      </c>
      <c r="C24" s="7" t="inlineStr">
        <is>
          <t>Takeout (personal)</t>
        </is>
      </c>
      <c r="D24" s="23" t="n">
        <v>1.77</v>
      </c>
    </row>
    <row r="25" ht="17" customHeight="1">
      <c r="A25" s="7" t="inlineStr">
        <is>
          <t>2026-07-06</t>
        </is>
      </c>
      <c r="B25" s="7" t="inlineStr">
        <is>
          <t>OSMOWS CAMBRIDG</t>
        </is>
      </c>
      <c r="C25" s="7" t="inlineStr">
        <is>
          <t>Takeout (personal)</t>
        </is>
      </c>
      <c r="D25" s="23" t="n">
        <v>21.22</v>
      </c>
    </row>
    <row r="26" ht="17" customHeight="1">
      <c r="A26" s="7" t="inlineStr">
        <is>
          <t>2026-07-06</t>
        </is>
      </c>
      <c r="B26" s="7" t="inlineStr">
        <is>
          <t>Roku for Bell M</t>
        </is>
      </c>
      <c r="C26" s="7" t="inlineStr">
        <is>
          <t>Subscriptions</t>
        </is>
      </c>
      <c r="D26" s="23" t="n">
        <v>24.85</v>
      </c>
    </row>
    <row r="27" ht="17" customHeight="1">
      <c r="A27" s="7" t="inlineStr">
        <is>
          <t>2026-07-06</t>
        </is>
      </c>
      <c r="B27" s="7" t="inlineStr">
        <is>
          <t>SHELL C02389</t>
        </is>
      </c>
      <c r="C27" s="7" t="inlineStr">
        <is>
          <t>Gas</t>
        </is>
      </c>
      <c r="D27" s="23" t="n">
        <v>30</v>
      </c>
    </row>
    <row r="28" ht="17" customHeight="1">
      <c r="A28" s="7" t="inlineStr">
        <is>
          <t>2026-07-06</t>
        </is>
      </c>
      <c r="B28" s="7" t="inlineStr">
        <is>
          <t>SHOPPERS DRUG M</t>
        </is>
      </c>
      <c r="C28" s="7" t="inlineStr">
        <is>
          <t>Health / pharmacy</t>
        </is>
      </c>
      <c r="D28" s="23" t="n">
        <v>62.23</v>
      </c>
    </row>
    <row r="29" ht="17" customHeight="1">
      <c r="A29" s="7" t="inlineStr">
        <is>
          <t>2026-07-06</t>
        </is>
      </c>
      <c r="B29" s="7" t="inlineStr">
        <is>
          <t>TOKYO SMOKE 420</t>
        </is>
      </c>
      <c r="C29" s="7" t="inlineStr">
        <is>
          <t>Vapes &amp; convenience</t>
        </is>
      </c>
      <c r="D29" s="23" t="n">
        <v>23.73</v>
      </c>
    </row>
    <row r="30" ht="17" customHeight="1">
      <c r="A30" s="7" t="inlineStr">
        <is>
          <t>2026-07-06</t>
        </is>
      </c>
      <c r="B30" s="7" t="inlineStr">
        <is>
          <t>VAPE LOUNGE</t>
        </is>
      </c>
      <c r="C30" s="7" t="inlineStr">
        <is>
          <t>Vapes &amp; convenience</t>
        </is>
      </c>
      <c r="D30" s="23" t="n">
        <v>49.71</v>
      </c>
    </row>
    <row r="31" ht="17" customHeight="1">
      <c r="A31" s="7" t="inlineStr">
        <is>
          <t>2026-07-06</t>
        </is>
      </c>
      <c r="B31" s="7" t="inlineStr">
        <is>
          <t>WAL-MART #3152</t>
        </is>
      </c>
      <c r="C31" s="7" t="inlineStr">
        <is>
          <t>Household / other</t>
        </is>
      </c>
      <c r="D31" s="23" t="n">
        <v>11.94</v>
      </c>
    </row>
    <row r="32" ht="17" customHeight="1">
      <c r="A32" s="7" t="inlineStr">
        <is>
          <t>2026-07-07</t>
        </is>
      </c>
      <c r="B32" s="7" t="inlineStr">
        <is>
          <t>Belair — home+auto insurance</t>
        </is>
      </c>
      <c r="C32" s="7" t="inlineStr">
        <is>
          <t>Insurance (home+auto)</t>
        </is>
      </c>
      <c r="D32" s="23" t="n">
        <v>54.84</v>
      </c>
    </row>
    <row r="33" ht="17" customHeight="1">
      <c r="A33" s="7" t="inlineStr">
        <is>
          <t>2026-07-07</t>
        </is>
      </c>
      <c r="B33" s="7" t="inlineStr">
        <is>
          <t>Belair — home+auto insurance</t>
        </is>
      </c>
      <c r="C33" s="7" t="inlineStr">
        <is>
          <t>Insurance (home+auto)</t>
        </is>
      </c>
      <c r="D33" s="23" t="n">
        <v>348.04</v>
      </c>
    </row>
    <row r="34" ht="17" customHeight="1">
      <c r="A34" s="7" t="inlineStr">
        <is>
          <t>2026-07-07</t>
        </is>
      </c>
      <c r="B34" s="7" t="inlineStr">
        <is>
          <t>MCDONALD'S # 11</t>
        </is>
      </c>
      <c r="C34" s="7" t="inlineStr">
        <is>
          <t>Takeout (personal)</t>
        </is>
      </c>
      <c r="D34" s="23" t="n">
        <v>16.25</v>
      </c>
    </row>
    <row r="35" ht="17" customHeight="1">
      <c r="A35" s="7" t="inlineStr">
        <is>
          <t>2026-07-07</t>
        </is>
      </c>
      <c r="B35" s="7" t="inlineStr">
        <is>
          <t>TOKYO SMOKE 420</t>
        </is>
      </c>
      <c r="C35" s="7" t="inlineStr">
        <is>
          <t>Vapes &amp; convenience</t>
        </is>
      </c>
      <c r="D35" s="23" t="n">
        <v>23.73</v>
      </c>
    </row>
    <row r="36" ht="17" customHeight="1">
      <c r="A36" s="7" t="inlineStr">
        <is>
          <t>2026-07-08</t>
        </is>
      </c>
      <c r="B36" s="7" t="inlineStr">
        <is>
          <t>MCDONALD'S # 11</t>
        </is>
      </c>
      <c r="C36" s="7" t="inlineStr">
        <is>
          <t>Takeout (personal)</t>
        </is>
      </c>
      <c r="D36" s="23" t="n">
        <v>1.88</v>
      </c>
    </row>
    <row r="37" ht="17" customHeight="1">
      <c r="A37" s="7" t="inlineStr">
        <is>
          <t>2026-07-08</t>
        </is>
      </c>
      <c r="B37" s="7" t="inlineStr">
        <is>
          <t>PETRO-CANADA 30</t>
        </is>
      </c>
      <c r="C37" s="7" t="inlineStr">
        <is>
          <t>Gas</t>
        </is>
      </c>
      <c r="D37" s="23" t="n">
        <v>25</v>
      </c>
    </row>
    <row r="38" ht="17" customHeight="1">
      <c r="A38" s="7" t="inlineStr">
        <is>
          <t>2026-07-08</t>
        </is>
      </c>
      <c r="B38" s="7" t="inlineStr">
        <is>
          <t>SWISS PLUS #191</t>
        </is>
      </c>
      <c r="C38" s="7" t="inlineStr">
        <is>
          <t>Takeout (personal)</t>
        </is>
      </c>
      <c r="D38" s="23" t="n">
        <v>48.67</v>
      </c>
    </row>
    <row r="39" ht="17" customHeight="1">
      <c r="A39" s="7" t="inlineStr">
        <is>
          <t>2026-07-08</t>
        </is>
      </c>
      <c r="B39" s="7" t="inlineStr">
        <is>
          <t>TOKYO SMOKE 420</t>
        </is>
      </c>
      <c r="C39" s="7" t="inlineStr">
        <is>
          <t>Vapes &amp; convenience</t>
        </is>
      </c>
      <c r="D39" s="23" t="n">
        <v>23.73</v>
      </c>
    </row>
    <row r="40" ht="17" customHeight="1">
      <c r="A40" s="7" t="inlineStr">
        <is>
          <t>2026-07-08</t>
        </is>
      </c>
      <c r="B40" s="7" t="inlineStr">
        <is>
          <t>Telus — both phone lines</t>
        </is>
      </c>
      <c r="C40" s="7" t="inlineStr">
        <is>
          <t>Phone (Telus, both lines)</t>
        </is>
      </c>
      <c r="D40" s="23" t="n">
        <v>240.67</v>
      </c>
    </row>
    <row r="41" ht="17" customHeight="1">
      <c r="A41" s="7" t="inlineStr">
        <is>
          <t>2026-07-09</t>
        </is>
      </c>
      <c r="B41" s="7" t="inlineStr">
        <is>
          <t>CHURCH'S TEXAS</t>
        </is>
      </c>
      <c r="C41" s="7" t="inlineStr">
        <is>
          <t>Takeout (personal)</t>
        </is>
      </c>
      <c r="D41" s="23" t="n">
        <v>64.09</v>
      </c>
    </row>
    <row r="42" ht="17" customHeight="1">
      <c r="A42" s="7" t="inlineStr">
        <is>
          <t>2026-07-09</t>
        </is>
      </c>
      <c r="B42" s="7" t="inlineStr">
        <is>
          <t>MCDONALD'S # 11</t>
        </is>
      </c>
      <c r="C42" s="7" t="inlineStr">
        <is>
          <t>Takeout (personal)</t>
        </is>
      </c>
      <c r="D42" s="23" t="n">
        <v>12.52</v>
      </c>
    </row>
    <row r="43" ht="17" customHeight="1">
      <c r="A43" s="7" t="inlineStr">
        <is>
          <t>2026-07-09</t>
        </is>
      </c>
      <c r="B43" s="7" t="inlineStr">
        <is>
          <t>PETRO-CANADA 30</t>
        </is>
      </c>
      <c r="C43" s="7" t="inlineStr">
        <is>
          <t>Gas</t>
        </is>
      </c>
      <c r="D43" s="23" t="n">
        <v>25</v>
      </c>
    </row>
    <row r="44" ht="17" customHeight="1">
      <c r="A44" s="7" t="inlineStr">
        <is>
          <t>2026-07-09</t>
        </is>
      </c>
      <c r="B44" s="7" t="inlineStr">
        <is>
          <t>PIONEER 43384</t>
        </is>
      </c>
      <c r="C44" s="7" t="inlineStr">
        <is>
          <t>Gas</t>
        </is>
      </c>
      <c r="D44" s="23" t="n">
        <v>19.76</v>
      </c>
    </row>
    <row r="45" ht="17" customHeight="1">
      <c r="A45" s="7" t="inlineStr">
        <is>
          <t>2026-07-10</t>
        </is>
      </c>
      <c r="B45" s="7" t="inlineStr">
        <is>
          <t>MCDONALD'S # 11</t>
        </is>
      </c>
      <c r="C45" s="7" t="inlineStr">
        <is>
          <t>Takeout (personal)</t>
        </is>
      </c>
      <c r="D45" s="23" t="n">
        <v>46.17</v>
      </c>
    </row>
    <row r="46" ht="17" customHeight="1">
      <c r="A46" s="7" t="inlineStr">
        <is>
          <t>2026-07-10</t>
        </is>
      </c>
      <c r="B46" s="7" t="inlineStr">
        <is>
          <t>ONCE UPON CHD 2</t>
        </is>
      </c>
      <c r="C46" s="7" t="inlineStr">
        <is>
          <t>Household / other</t>
        </is>
      </c>
      <c r="D46" s="23" t="n">
        <v>43.3</v>
      </c>
    </row>
    <row r="47" ht="17" customHeight="1">
      <c r="A47" s="7" t="inlineStr">
        <is>
          <t>2026-07-10</t>
        </is>
      </c>
      <c r="B47" s="7" t="inlineStr">
        <is>
          <t>SHELL C81418</t>
        </is>
      </c>
      <c r="C47" s="7" t="inlineStr">
        <is>
          <t>Gas</t>
        </is>
      </c>
      <c r="D47" s="23" t="n">
        <v>30</v>
      </c>
    </row>
    <row r="48" ht="17" customHeight="1">
      <c r="A48" s="7" t="inlineStr">
        <is>
          <t>2026-07-10</t>
        </is>
      </c>
      <c r="B48" s="7" t="inlineStr">
        <is>
          <t>TOKYO SMOKE 420</t>
        </is>
      </c>
      <c r="C48" s="7" t="inlineStr">
        <is>
          <t>Vapes &amp; convenience</t>
        </is>
      </c>
      <c r="D48" s="23" t="n">
        <v>23.73</v>
      </c>
    </row>
    <row r="49" ht="17" customHeight="1">
      <c r="A49" s="7" t="inlineStr">
        <is>
          <t>2026-07-13</t>
        </is>
      </c>
      <c r="B49" s="7" t="inlineStr">
        <is>
          <t>APPLE.COM/BILL</t>
        </is>
      </c>
      <c r="C49" s="7" t="inlineStr">
        <is>
          <t>Subscriptions</t>
        </is>
      </c>
      <c r="D49" s="23" t="n">
        <v>47.43</v>
      </c>
    </row>
    <row r="50" ht="17" customHeight="1">
      <c r="A50" s="7" t="inlineStr">
        <is>
          <t>2026-07-13</t>
        </is>
      </c>
      <c r="B50" s="7" t="inlineStr">
        <is>
          <t>BRANTFORD HIGHW</t>
        </is>
      </c>
      <c r="C50" s="7" t="inlineStr">
        <is>
          <t>Gas</t>
        </is>
      </c>
      <c r="D50" s="23" t="n">
        <v>20</v>
      </c>
    </row>
    <row r="51" ht="17" customHeight="1">
      <c r="A51" s="7" t="inlineStr">
        <is>
          <t>2026-07-13</t>
        </is>
      </c>
      <c r="B51" s="7" t="inlineStr">
        <is>
          <t>BRONTE ESSO</t>
        </is>
      </c>
      <c r="C51" s="7" t="inlineStr">
        <is>
          <t>Gas</t>
        </is>
      </c>
      <c r="D51" s="23" t="n">
        <v>20</v>
      </c>
    </row>
    <row r="52" ht="17" customHeight="1">
      <c r="A52" s="7" t="inlineStr">
        <is>
          <t>2026-07-13</t>
        </is>
      </c>
      <c r="B52" s="7" t="inlineStr">
        <is>
          <t>BURGER KING #29</t>
        </is>
      </c>
      <c r="C52" s="7" t="inlineStr">
        <is>
          <t>Takeout (personal)</t>
        </is>
      </c>
      <c r="D52" s="23" t="n">
        <v>27.66</v>
      </c>
    </row>
    <row r="53" ht="17" customHeight="1">
      <c r="A53" s="7" t="inlineStr">
        <is>
          <t>2026-07-13</t>
        </is>
      </c>
      <c r="B53" s="7" t="inlineStr">
        <is>
          <t>ELGIN MINI MART</t>
        </is>
      </c>
      <c r="C53" s="7" t="inlineStr">
        <is>
          <t>Vapes &amp; convenience</t>
        </is>
      </c>
      <c r="D53" s="23" t="n">
        <v>7.55</v>
      </c>
    </row>
    <row r="54" ht="17" customHeight="1">
      <c r="A54" s="7" t="inlineStr">
        <is>
          <t>2026-07-13</t>
        </is>
      </c>
      <c r="B54" s="7" t="inlineStr">
        <is>
          <t>GALT MINI MART</t>
        </is>
      </c>
      <c r="C54" s="7" t="inlineStr">
        <is>
          <t>Vapes &amp; convenience</t>
        </is>
      </c>
      <c r="D54" s="23" t="n">
        <v>51.97</v>
      </c>
    </row>
    <row r="55" ht="17" customHeight="1">
      <c r="A55" s="7" t="inlineStr">
        <is>
          <t>2026-07-13</t>
        </is>
      </c>
      <c r="B55" s="7" t="inlineStr">
        <is>
          <t>GALT MINI MART</t>
        </is>
      </c>
      <c r="C55" s="7" t="inlineStr">
        <is>
          <t>Vapes &amp; convenience</t>
        </is>
      </c>
      <c r="D55" s="23" t="n">
        <v>7.44</v>
      </c>
    </row>
    <row r="56" ht="17" customHeight="1">
      <c r="A56" s="7" t="inlineStr">
        <is>
          <t>2026-07-13</t>
        </is>
      </c>
      <c r="B56" s="7" t="inlineStr">
        <is>
          <t>GALT MINI MART</t>
        </is>
      </c>
      <c r="C56" s="7" t="inlineStr">
        <is>
          <t>Vapes &amp; convenience</t>
        </is>
      </c>
      <c r="D56" s="23" t="n">
        <v>51.97</v>
      </c>
    </row>
    <row r="57" ht="17" customHeight="1">
      <c r="A57" s="7" t="inlineStr">
        <is>
          <t>2026-07-13</t>
        </is>
      </c>
      <c r="B57" s="7" t="inlineStr">
        <is>
          <t>NEW DRAGON CITY</t>
        </is>
      </c>
      <c r="C57" s="7" t="inlineStr">
        <is>
          <t>Takeout (personal)</t>
        </is>
      </c>
      <c r="D57" s="23" t="n">
        <v>56.14</v>
      </c>
    </row>
    <row r="58" ht="17" customHeight="1">
      <c r="A58" s="7" t="inlineStr">
        <is>
          <t>2026-07-13</t>
        </is>
      </c>
      <c r="B58" s="7" t="inlineStr">
        <is>
          <t>SUBWAY 27510</t>
        </is>
      </c>
      <c r="C58" s="7" t="inlineStr">
        <is>
          <t>Takeout (personal)</t>
        </is>
      </c>
      <c r="D58" s="23" t="n">
        <v>13.77</v>
      </c>
    </row>
    <row r="59" ht="17" customHeight="1">
      <c r="A59" s="7" t="inlineStr">
        <is>
          <t>2026-07-13</t>
        </is>
      </c>
      <c r="B59" s="7" t="inlineStr">
        <is>
          <t>TIM HORTONS #02</t>
        </is>
      </c>
      <c r="C59" s="7" t="inlineStr">
        <is>
          <t>Takeout (personal)</t>
        </is>
      </c>
      <c r="D59" s="23" t="n">
        <v>30.01</v>
      </c>
    </row>
    <row r="60" ht="17" customHeight="1">
      <c r="A60" s="7" t="inlineStr">
        <is>
          <t>2026-07-14</t>
        </is>
      </c>
      <c r="B60" s="7" t="inlineStr">
        <is>
          <t>UberDirectCA_PA</t>
        </is>
      </c>
      <c r="C60" s="7" t="inlineStr">
        <is>
          <t>Takeout (personal)</t>
        </is>
      </c>
      <c r="D60" s="23" t="n">
        <v>11.29</v>
      </c>
    </row>
    <row r="61" ht="17" customHeight="1">
      <c r="A61" s="7" t="inlineStr">
        <is>
          <t>2026-07-16</t>
        </is>
      </c>
      <c r="B61" s="7" t="inlineStr">
        <is>
          <t>FRESHCO #2932</t>
        </is>
      </c>
      <c r="C61" s="7" t="inlineStr">
        <is>
          <t>Groceries</t>
        </is>
      </c>
      <c r="D61" s="23" t="n">
        <v>14.45</v>
      </c>
    </row>
    <row r="62" ht="17" customHeight="1">
      <c r="A62" s="7" t="inlineStr">
        <is>
          <t>2026-07-16</t>
        </is>
      </c>
      <c r="B62" s="7" t="inlineStr">
        <is>
          <t>GALT MINI MART</t>
        </is>
      </c>
      <c r="C62" s="7" t="inlineStr">
        <is>
          <t>Vapes &amp; convenience</t>
        </is>
      </c>
      <c r="D62" s="23" t="n">
        <v>14</v>
      </c>
    </row>
    <row r="63" ht="17" customHeight="1">
      <c r="A63" s="7" t="inlineStr">
        <is>
          <t>2026-07-16</t>
        </is>
      </c>
      <c r="B63" s="7" t="inlineStr">
        <is>
          <t>LCBO/RAO #0095</t>
        </is>
      </c>
      <c r="C63" s="7" t="inlineStr">
        <is>
          <t>Household / other</t>
        </is>
      </c>
      <c r="D63" s="23" t="n">
        <v>33.75</v>
      </c>
    </row>
    <row r="64" ht="17" customHeight="1">
      <c r="A64" s="7" t="inlineStr">
        <is>
          <t>2026-07-16</t>
        </is>
      </c>
      <c r="B64" s="7" t="inlineStr">
        <is>
          <t>PIONEER 43340</t>
        </is>
      </c>
      <c r="C64" s="7" t="inlineStr">
        <is>
          <t>Gas</t>
        </is>
      </c>
      <c r="D64" s="23" t="n">
        <v>20</v>
      </c>
    </row>
    <row r="65" ht="17" customHeight="1">
      <c r="A65" s="7" t="inlineStr">
        <is>
          <t>2026-07-16</t>
        </is>
      </c>
      <c r="B65" s="7" t="inlineStr">
        <is>
          <t>SHOPPERS DRUG M</t>
        </is>
      </c>
      <c r="C65" s="7" t="inlineStr">
        <is>
          <t>Health / pharmacy</t>
        </is>
      </c>
      <c r="D65" s="23" t="n">
        <v>71</v>
      </c>
    </row>
    <row r="66" ht="17" customHeight="1">
      <c r="A66" s="7" t="inlineStr">
        <is>
          <t>2026-07-16</t>
        </is>
      </c>
      <c r="B66" s="7" t="inlineStr">
        <is>
          <t>STAPLES #53</t>
        </is>
      </c>
      <c r="C66" s="7" t="inlineStr">
        <is>
          <t>Household / other</t>
        </is>
      </c>
      <c r="D66" s="23" t="n">
        <v>42.92</v>
      </c>
    </row>
    <row r="67" ht="17" customHeight="1">
      <c r="A67" s="7" t="inlineStr">
        <is>
          <t>2026-07-16</t>
        </is>
      </c>
      <c r="B67" s="7" t="inlineStr">
        <is>
          <t>Spotify P4</t>
        </is>
      </c>
      <c r="C67" s="7" t="inlineStr">
        <is>
          <t>Subscriptions</t>
        </is>
      </c>
      <c r="D67" s="23" t="n">
        <v>15.81</v>
      </c>
    </row>
    <row r="68" ht="17" customHeight="1">
      <c r="A68" s="7" t="inlineStr">
        <is>
          <t>2026-07-16</t>
        </is>
      </c>
      <c r="B68" s="7" t="inlineStr">
        <is>
          <t>TIM HORTONS #05</t>
        </is>
      </c>
      <c r="C68" s="7" t="inlineStr">
        <is>
          <t>Takeout (personal)</t>
        </is>
      </c>
      <c r="D68" s="23" t="n">
        <v>11.84</v>
      </c>
    </row>
    <row r="69" ht="17" customHeight="1">
      <c r="A69" s="7" t="inlineStr">
        <is>
          <t>2026-07-16</t>
        </is>
      </c>
      <c r="B69" s="7" t="inlineStr">
        <is>
          <t>WAL-MART #3152</t>
        </is>
      </c>
      <c r="C69" s="7" t="inlineStr">
        <is>
          <t>Household / other</t>
        </is>
      </c>
      <c r="D69" s="23" t="n">
        <v>41.79</v>
      </c>
    </row>
    <row r="70" ht="17" customHeight="1">
      <c r="A70" s="7" t="inlineStr">
        <is>
          <t>2026-07-17</t>
        </is>
      </c>
      <c r="B70" s="7" t="inlineStr">
        <is>
          <t>CAMBRIDGE GB 62</t>
        </is>
      </c>
      <c r="C70" s="7" t="inlineStr">
        <is>
          <t>Vapes &amp; convenience</t>
        </is>
      </c>
      <c r="D70" s="23" t="n">
        <v>71.03</v>
      </c>
    </row>
    <row r="71" ht="17" customHeight="1">
      <c r="A71" s="7" t="inlineStr">
        <is>
          <t>2026-07-17</t>
        </is>
      </c>
      <c r="B71" s="7" t="inlineStr">
        <is>
          <t>DAIRY QUEEN #12</t>
        </is>
      </c>
      <c r="C71" s="7" t="inlineStr">
        <is>
          <t>Takeout (personal)</t>
        </is>
      </c>
      <c r="D71" s="23" t="n">
        <v>55.99</v>
      </c>
    </row>
    <row r="72" ht="17" customHeight="1">
      <c r="A72" s="7" t="inlineStr">
        <is>
          <t>2026-07-17</t>
        </is>
      </c>
      <c r="B72" s="7" t="inlineStr">
        <is>
          <t>GALT MINI MART</t>
        </is>
      </c>
      <c r="C72" s="7" t="inlineStr">
        <is>
          <t>Vapes &amp; convenience</t>
        </is>
      </c>
      <c r="D72" s="23" t="n">
        <v>8.68</v>
      </c>
    </row>
    <row r="73" ht="17" customHeight="1">
      <c r="A73" s="7" t="inlineStr">
        <is>
          <t>2026-07-17</t>
        </is>
      </c>
      <c r="B73" s="7" t="inlineStr">
        <is>
          <t>GALT MINI MART</t>
        </is>
      </c>
      <c r="C73" s="7" t="inlineStr">
        <is>
          <t>Vapes &amp; convenience</t>
        </is>
      </c>
      <c r="D73" s="23" t="n">
        <v>51.97</v>
      </c>
    </row>
    <row r="74" ht="17" customHeight="1">
      <c r="A74" s="7" t="inlineStr">
        <is>
          <t>2026-07-20</t>
        </is>
      </c>
      <c r="B74" s="7" t="inlineStr">
        <is>
          <t>Canadian Tire</t>
        </is>
      </c>
      <c r="C74" s="7" t="inlineStr">
        <is>
          <t>Household / other</t>
        </is>
      </c>
      <c r="D74" s="23" t="n">
        <v>5.07</v>
      </c>
    </row>
    <row r="75" ht="17" customHeight="1">
      <c r="A75" s="7" t="inlineStr">
        <is>
          <t>2026-07-20</t>
        </is>
      </c>
      <c r="B75" s="7" t="inlineStr">
        <is>
          <t>Canadian Tire</t>
        </is>
      </c>
      <c r="C75" s="7" t="inlineStr">
        <is>
          <t>Household / other</t>
        </is>
      </c>
      <c r="D75" s="23" t="n">
        <v>24.26</v>
      </c>
    </row>
    <row r="76" ht="17" customHeight="1">
      <c r="A76" s="7" t="inlineStr">
        <is>
          <t>2026-07-20</t>
        </is>
      </c>
      <c r="B76" s="7" t="inlineStr">
        <is>
          <t>Crunch Fitness</t>
        </is>
      </c>
      <c r="C76" s="7" t="inlineStr">
        <is>
          <t>Subscriptions</t>
        </is>
      </c>
      <c r="D76" s="23" t="n">
        <v>20.07</v>
      </c>
    </row>
    <row r="77" ht="17" customHeight="1">
      <c r="A77" s="7" t="inlineStr">
        <is>
          <t>2026-07-20</t>
        </is>
      </c>
      <c r="B77" s="7" t="inlineStr">
        <is>
          <t>ELMIRA MINI MAR</t>
        </is>
      </c>
      <c r="C77" s="7" t="inlineStr">
        <is>
          <t>Vapes &amp; convenience</t>
        </is>
      </c>
      <c r="D77" s="23" t="n">
        <v>7.89</v>
      </c>
    </row>
    <row r="78" ht="17" customHeight="1">
      <c r="A78" s="7" t="inlineStr">
        <is>
          <t>2026-07-20</t>
        </is>
      </c>
      <c r="B78" s="7" t="inlineStr">
        <is>
          <t>EVERGREEN VAPE</t>
        </is>
      </c>
      <c r="C78" s="7" t="inlineStr">
        <is>
          <t>Vapes &amp; convenience</t>
        </is>
      </c>
      <c r="D78" s="23" t="n">
        <v>47.79</v>
      </c>
    </row>
    <row r="79" ht="17" customHeight="1">
      <c r="A79" s="7" t="inlineStr">
        <is>
          <t>2026-07-20</t>
        </is>
      </c>
      <c r="B79" s="7" t="inlineStr">
        <is>
          <t>FOOD BASICS 63</t>
        </is>
      </c>
      <c r="C79" s="7" t="inlineStr">
        <is>
          <t>Groceries</t>
        </is>
      </c>
      <c r="D79" s="23" t="n">
        <v>205.93</v>
      </c>
    </row>
    <row r="80" ht="17" customHeight="1">
      <c r="A80" s="7" t="inlineStr">
        <is>
          <t>2026-07-20</t>
        </is>
      </c>
      <c r="B80" s="7" t="inlineStr">
        <is>
          <t>GALT MINI MART</t>
        </is>
      </c>
      <c r="C80" s="7" t="inlineStr">
        <is>
          <t>Vapes &amp; convenience</t>
        </is>
      </c>
      <c r="D80" s="23" t="n">
        <v>51.97</v>
      </c>
    </row>
    <row r="81" ht="17" customHeight="1">
      <c r="A81" s="7" t="inlineStr">
        <is>
          <t>2026-07-20</t>
        </is>
      </c>
      <c r="B81" s="7" t="inlineStr">
        <is>
          <t>HASTY MARKET</t>
        </is>
      </c>
      <c r="C81" s="7" t="inlineStr">
        <is>
          <t>Vapes &amp; convenience</t>
        </is>
      </c>
      <c r="D81" s="23" t="n">
        <v>9.039999999999999</v>
      </c>
    </row>
    <row r="82" ht="17" customHeight="1">
      <c r="A82" s="7" t="inlineStr">
        <is>
          <t>2026-07-20</t>
        </is>
      </c>
      <c r="B82" s="7" t="inlineStr">
        <is>
          <t>MCDONALD'S #766</t>
        </is>
      </c>
      <c r="C82" s="7" t="inlineStr">
        <is>
          <t>Takeout (personal)</t>
        </is>
      </c>
      <c r="D82" s="23" t="n">
        <v>16.03</v>
      </c>
    </row>
    <row r="83" ht="17" customHeight="1">
      <c r="A83" s="7" t="inlineStr">
        <is>
          <t>2026-07-20</t>
        </is>
      </c>
      <c r="B83" s="7" t="inlineStr">
        <is>
          <t>Roku for Univer</t>
        </is>
      </c>
      <c r="C83" s="7" t="inlineStr">
        <is>
          <t>Subscriptions</t>
        </is>
      </c>
      <c r="D83" s="23" t="n">
        <v>7.9</v>
      </c>
    </row>
    <row r="84" ht="17" customHeight="1">
      <c r="A84" s="7" t="inlineStr">
        <is>
          <t>2026-07-20</t>
        </is>
      </c>
      <c r="B84" s="7" t="inlineStr">
        <is>
          <t>TIM HORTONS #03</t>
        </is>
      </c>
      <c r="C84" s="7" t="inlineStr">
        <is>
          <t>Takeout (personal)</t>
        </is>
      </c>
      <c r="D84" s="23" t="n">
        <v>10.15</v>
      </c>
    </row>
    <row r="85" ht="17" customHeight="1">
      <c r="A85" s="7" t="inlineStr">
        <is>
          <t>2026-07-20</t>
        </is>
      </c>
      <c r="B85" s="7" t="inlineStr">
        <is>
          <t>TIM HORTONS #21</t>
        </is>
      </c>
      <c r="C85" s="7" t="inlineStr">
        <is>
          <t>Takeout (personal)</t>
        </is>
      </c>
      <c r="D85" s="23" t="n">
        <v>17.46</v>
      </c>
    </row>
    <row r="86" ht="17" customHeight="1">
      <c r="A86" s="7" t="inlineStr">
        <is>
          <t>2026-07-20</t>
        </is>
      </c>
      <c r="B86" s="7" t="inlineStr">
        <is>
          <t>TIM HORTONS #21</t>
        </is>
      </c>
      <c r="C86" s="7" t="inlineStr">
        <is>
          <t>Takeout (personal)</t>
        </is>
      </c>
      <c r="D86" s="23" t="n">
        <v>11.61</v>
      </c>
    </row>
    <row r="87" ht="17" customHeight="1">
      <c r="A87" s="7" t="inlineStr">
        <is>
          <t>2026-07-20</t>
        </is>
      </c>
      <c r="B87" s="7" t="inlineStr">
        <is>
          <t>TIM HORTONS #21</t>
        </is>
      </c>
      <c r="C87" s="7" t="inlineStr">
        <is>
          <t>Takeout (personal)</t>
        </is>
      </c>
      <c r="D87" s="23" t="n">
        <v>10.15</v>
      </c>
    </row>
    <row r="88" ht="17" customHeight="1">
      <c r="A88" s="7" t="inlineStr">
        <is>
          <t>2026-07-20</t>
        </is>
      </c>
      <c r="B88" s="7" t="inlineStr">
        <is>
          <t>WALMART STORE #</t>
        </is>
      </c>
      <c r="C88" s="7" t="inlineStr">
        <is>
          <t>Household / other</t>
        </is>
      </c>
      <c r="D88" s="23" t="n">
        <v>172.35</v>
      </c>
    </row>
    <row r="89" ht="17" customHeight="1">
      <c r="A89" s="7" t="inlineStr">
        <is>
          <t>2026-07-20</t>
        </is>
      </c>
      <c r="B89" s="7" t="inlineStr">
        <is>
          <t>WENDY'S RESTAUR</t>
        </is>
      </c>
      <c r="C89" s="7" t="inlineStr">
        <is>
          <t>Takeout (personal)</t>
        </is>
      </c>
      <c r="D89" s="23" t="n">
        <v>16.93</v>
      </c>
    </row>
    <row r="90" ht="17" customHeight="1">
      <c r="A90" s="7" t="inlineStr">
        <is>
          <t>2026-07-20</t>
        </is>
      </c>
      <c r="B90" s="7" t="inlineStr">
        <is>
          <t>WENDY'S RESTAUR</t>
        </is>
      </c>
      <c r="C90" s="7" t="inlineStr">
        <is>
          <t>Takeout (personal)</t>
        </is>
      </c>
      <c r="D90" s="23" t="n">
        <v>45.55</v>
      </c>
    </row>
    <row r="91" ht="17" customHeight="1">
      <c r="A91" s="7" t="inlineStr">
        <is>
          <t>2026-07-21</t>
        </is>
      </c>
      <c r="B91" s="7" t="inlineStr">
        <is>
          <t>A AND W</t>
        </is>
      </c>
      <c r="C91" s="7" t="inlineStr">
        <is>
          <t>Takeout (personal)</t>
        </is>
      </c>
      <c r="D91" s="23" t="n">
        <v>20</v>
      </c>
    </row>
    <row r="92" ht="17" customHeight="1">
      <c r="A92" s="7" t="inlineStr">
        <is>
          <t>2026-07-21</t>
        </is>
      </c>
      <c r="B92" s="7" t="inlineStr">
        <is>
          <t>CAMBRIDGE GB 62</t>
        </is>
      </c>
      <c r="C92" s="7" t="inlineStr">
        <is>
          <t>Vapes &amp; convenience</t>
        </is>
      </c>
      <c r="D92" s="23" t="n">
        <v>8.25</v>
      </c>
    </row>
    <row r="93" ht="17" customHeight="1">
      <c r="A93" s="7" t="inlineStr">
        <is>
          <t>2026-07-21</t>
        </is>
      </c>
      <c r="B93" s="7" t="inlineStr">
        <is>
          <t>CAMBRIDGE GB 62</t>
        </is>
      </c>
      <c r="C93" s="7" t="inlineStr">
        <is>
          <t>Vapes &amp; convenience</t>
        </is>
      </c>
      <c r="D93" s="23" t="n">
        <v>79</v>
      </c>
    </row>
    <row r="94" ht="17" customHeight="1">
      <c r="A94" s="7" t="inlineStr">
        <is>
          <t>2026-07-21</t>
        </is>
      </c>
      <c r="B94" s="7" t="inlineStr">
        <is>
          <t>GALT MINI MART</t>
        </is>
      </c>
      <c r="C94" s="7" t="inlineStr">
        <is>
          <t>Vapes &amp; convenience</t>
        </is>
      </c>
      <c r="D94" s="23" t="n">
        <v>51.97</v>
      </c>
    </row>
    <row r="95" ht="17" customHeight="1">
      <c r="A95" s="7" t="inlineStr">
        <is>
          <t>2026-07-21</t>
        </is>
      </c>
      <c r="B95" s="7" t="inlineStr">
        <is>
          <t>WAL-MART #3152</t>
        </is>
      </c>
      <c r="C95" s="7" t="inlineStr">
        <is>
          <t>Household / other</t>
        </is>
      </c>
      <c r="D95" s="23" t="n">
        <v>23.65</v>
      </c>
    </row>
    <row r="96" ht="17" customHeight="1">
      <c r="A96" s="7" t="inlineStr">
        <is>
          <t>2026-07-21</t>
        </is>
      </c>
      <c r="B96" s="7" t="inlineStr">
        <is>
          <t>WALMART STORE #</t>
        </is>
      </c>
      <c r="C96" s="7" t="inlineStr">
        <is>
          <t>Household / other</t>
        </is>
      </c>
      <c r="D96" s="23" t="n">
        <v>45.15</v>
      </c>
    </row>
    <row r="97" ht="17" customHeight="1">
      <c r="A97" s="7" t="inlineStr">
        <is>
          <t>2026-07-22</t>
        </is>
      </c>
      <c r="B97" s="7" t="inlineStr">
        <is>
          <t>MCDONALD'S # 11</t>
        </is>
      </c>
      <c r="C97" s="7" t="inlineStr">
        <is>
          <t>Takeout (personal)</t>
        </is>
      </c>
      <c r="D97" s="23" t="n">
        <v>10.72</v>
      </c>
    </row>
    <row r="98" ht="17" customHeight="1">
      <c r="A98" s="7" t="inlineStr">
        <is>
          <t>2026-07-22</t>
        </is>
      </c>
      <c r="B98" s="7" t="inlineStr">
        <is>
          <t>WENDY'S</t>
        </is>
      </c>
      <c r="C98" s="7" t="inlineStr">
        <is>
          <t>Takeout (personal)</t>
        </is>
      </c>
      <c r="D98" s="23" t="n">
        <v>15.8</v>
      </c>
    </row>
    <row r="99" ht="17" customHeight="1">
      <c r="A99" s="7" t="inlineStr">
        <is>
          <t>2026-07-23</t>
        </is>
      </c>
      <c r="B99" s="7" t="inlineStr">
        <is>
          <t>MCDONALD'S # 11</t>
        </is>
      </c>
      <c r="C99" s="7" t="inlineStr">
        <is>
          <t>Takeout (personal)</t>
        </is>
      </c>
      <c r="D99" s="23" t="n">
        <v>10.72</v>
      </c>
    </row>
    <row r="100" ht="17" customHeight="1">
      <c r="A100" s="7" t="inlineStr">
        <is>
          <t>2026-07-23</t>
        </is>
      </c>
      <c r="B100" s="7" t="inlineStr">
        <is>
          <t>TIM HORTONS #09</t>
        </is>
      </c>
      <c r="C100" s="7" t="inlineStr">
        <is>
          <t>Takeout (personal)</t>
        </is>
      </c>
      <c r="D100" s="23" t="n">
        <v>20.08</v>
      </c>
    </row>
    <row r="101" ht="17" customHeight="1">
      <c r="A101" s="7" t="inlineStr">
        <is>
          <t>2026-07-24</t>
        </is>
      </c>
      <c r="B101" s="7" t="inlineStr">
        <is>
          <t>APPLE.COM/BILL</t>
        </is>
      </c>
      <c r="C101" s="7" t="inlineStr">
        <is>
          <t>Subscriptions</t>
        </is>
      </c>
      <c r="D101" s="23" t="n">
        <v>4.51</v>
      </c>
    </row>
    <row r="102" ht="17" customHeight="1">
      <c r="A102" s="7" t="inlineStr">
        <is>
          <t>2026-07-24</t>
        </is>
      </c>
      <c r="B102" s="7" t="inlineStr">
        <is>
          <t>BURGER KING #29</t>
        </is>
      </c>
      <c r="C102" s="7" t="inlineStr">
        <is>
          <t>Takeout (personal)</t>
        </is>
      </c>
      <c r="D102" s="23" t="n">
        <v>20.2</v>
      </c>
    </row>
    <row r="103" ht="17" customHeight="1">
      <c r="A103" s="7" t="inlineStr">
        <is>
          <t>2026-07-24</t>
        </is>
      </c>
      <c r="B103" s="7" t="inlineStr">
        <is>
          <t>MCDONALD'S # 11</t>
        </is>
      </c>
      <c r="C103" s="7" t="inlineStr">
        <is>
          <t>Takeout (personal)</t>
        </is>
      </c>
      <c r="D103" s="23" t="n">
        <v>10.72</v>
      </c>
    </row>
    <row r="104" ht="17" customHeight="1">
      <c r="A104" s="7" t="inlineStr">
        <is>
          <t>2026-07-24</t>
        </is>
      </c>
      <c r="B104" s="7" t="inlineStr">
        <is>
          <t>SHOPPERS DRUG M</t>
        </is>
      </c>
      <c r="C104" s="7" t="inlineStr">
        <is>
          <t>Health / pharmacy</t>
        </is>
      </c>
      <c r="D104" s="23" t="n">
        <v>61.17</v>
      </c>
    </row>
    <row r="105" ht="17" customHeight="1">
      <c r="A105" s="7" t="inlineStr">
        <is>
          <t>2026-07-24</t>
        </is>
      </c>
      <c r="B105" s="7" t="inlineStr">
        <is>
          <t>WENDY'S 6694 Q1</t>
        </is>
      </c>
      <c r="C105" s="7" t="inlineStr">
        <is>
          <t>Takeout (personal)</t>
        </is>
      </c>
      <c r="D105" s="23" t="n">
        <v>20.1</v>
      </c>
    </row>
    <row r="106" ht="17" customHeight="1">
      <c r="A106" s="7" t="inlineStr">
        <is>
          <t>2026-07-27</t>
        </is>
      </c>
      <c r="B106" s="7" t="inlineStr">
        <is>
          <t>62020 MACS CONV</t>
        </is>
      </c>
      <c r="C106" s="7" t="inlineStr">
        <is>
          <t>Vapes &amp; convenience</t>
        </is>
      </c>
      <c r="D106" s="23" t="n">
        <v>3.38</v>
      </c>
    </row>
    <row r="107" ht="17" customHeight="1">
      <c r="A107" s="7" t="inlineStr">
        <is>
          <t>2026-07-27</t>
        </is>
      </c>
      <c r="B107" s="7" t="inlineStr">
        <is>
          <t>APPLE.COM/BILL</t>
        </is>
      </c>
      <c r="C107" s="7" t="inlineStr">
        <is>
          <t>Subscriptions</t>
        </is>
      </c>
      <c r="D107" s="23" t="n">
        <v>41.76</v>
      </c>
    </row>
    <row r="108" ht="17" customHeight="1">
      <c r="A108" s="7" t="inlineStr">
        <is>
          <t>2026-07-27</t>
        </is>
      </c>
      <c r="B108" s="7" t="inlineStr">
        <is>
          <t>BURGER KING #29</t>
        </is>
      </c>
      <c r="C108" s="7" t="inlineStr">
        <is>
          <t>Takeout (personal)</t>
        </is>
      </c>
      <c r="D108" s="23" t="n">
        <v>44.49</v>
      </c>
    </row>
    <row r="109" ht="17" customHeight="1">
      <c r="A109" s="7" t="inlineStr">
        <is>
          <t>2026-07-27</t>
        </is>
      </c>
      <c r="B109" s="7" t="inlineStr">
        <is>
          <t>CHURCH'S TEXAS</t>
        </is>
      </c>
      <c r="C109" s="7" t="inlineStr">
        <is>
          <t>Takeout (personal)</t>
        </is>
      </c>
      <c r="D109" s="23" t="n">
        <v>52.14</v>
      </c>
    </row>
    <row r="110" ht="17" customHeight="1">
      <c r="A110" s="7" t="inlineStr">
        <is>
          <t>2026-07-27</t>
        </is>
      </c>
      <c r="B110" s="7" t="inlineStr">
        <is>
          <t>ESSO CIRCLE K</t>
        </is>
      </c>
      <c r="C110" s="7" t="inlineStr">
        <is>
          <t>Gas</t>
        </is>
      </c>
      <c r="D110" s="23" t="n">
        <v>20</v>
      </c>
    </row>
    <row r="111" ht="17" customHeight="1">
      <c r="A111" s="7" t="inlineStr">
        <is>
          <t>2026-07-27</t>
        </is>
      </c>
      <c r="B111" s="7" t="inlineStr">
        <is>
          <t>GALT MINI MART</t>
        </is>
      </c>
      <c r="C111" s="7" t="inlineStr">
        <is>
          <t>Vapes &amp; convenience</t>
        </is>
      </c>
      <c r="D111" s="23" t="n">
        <v>7.33</v>
      </c>
    </row>
    <row r="112" ht="17" customHeight="1">
      <c r="A112" s="7" t="inlineStr">
        <is>
          <t>2026-07-27</t>
        </is>
      </c>
      <c r="B112" s="7" t="inlineStr">
        <is>
          <t>GALT MINI MART</t>
        </is>
      </c>
      <c r="C112" s="7" t="inlineStr">
        <is>
          <t>Vapes &amp; convenience</t>
        </is>
      </c>
      <c r="D112" s="23" t="n">
        <v>51.97</v>
      </c>
    </row>
    <row r="113" ht="17" customHeight="1">
      <c r="A113" s="7" t="inlineStr">
        <is>
          <t>2026-07-27</t>
        </is>
      </c>
      <c r="B113" s="7" t="inlineStr">
        <is>
          <t>GIANT TIGER #10</t>
        </is>
      </c>
      <c r="C113" s="7" t="inlineStr">
        <is>
          <t>Household / other</t>
        </is>
      </c>
      <c r="D113" s="23" t="n">
        <v>9.300000000000001</v>
      </c>
    </row>
    <row r="114" ht="17" customHeight="1">
      <c r="A114" s="7" t="inlineStr">
        <is>
          <t>2026-07-27</t>
        </is>
      </c>
      <c r="B114" s="7" t="inlineStr">
        <is>
          <t>MCDONALD'S # 11</t>
        </is>
      </c>
      <c r="C114" s="7" t="inlineStr">
        <is>
          <t>Takeout (personal)</t>
        </is>
      </c>
      <c r="D114" s="23" t="n">
        <v>22.46</v>
      </c>
    </row>
    <row r="115" ht="17" customHeight="1">
      <c r="A115" s="7" t="inlineStr">
        <is>
          <t>2026-07-27</t>
        </is>
      </c>
      <c r="B115" s="7" t="inlineStr">
        <is>
          <t>MCDONALD'S # 11</t>
        </is>
      </c>
      <c r="C115" s="7" t="inlineStr">
        <is>
          <t>Takeout (personal)</t>
        </is>
      </c>
      <c r="D115" s="23" t="n">
        <v>10.72</v>
      </c>
    </row>
    <row r="116" ht="17" customHeight="1">
      <c r="A116" s="7" t="inlineStr">
        <is>
          <t>2026-07-27</t>
        </is>
      </c>
      <c r="B116" s="7" t="inlineStr">
        <is>
          <t>PETRO-CANADA 30</t>
        </is>
      </c>
      <c r="C116" s="7" t="inlineStr">
        <is>
          <t>Gas</t>
        </is>
      </c>
      <c r="D116" s="23" t="n">
        <v>20</v>
      </c>
    </row>
    <row r="117" ht="17" customHeight="1">
      <c r="A117" s="7" t="inlineStr">
        <is>
          <t>2026-07-27</t>
        </is>
      </c>
      <c r="B117" s="7" t="inlineStr">
        <is>
          <t>PLAYSTATIO</t>
        </is>
      </c>
      <c r="C117" s="7" t="inlineStr">
        <is>
          <t>Subscriptions</t>
        </is>
      </c>
      <c r="D117" s="23" t="n">
        <v>45.32</v>
      </c>
    </row>
    <row r="118" ht="17" customHeight="1">
      <c r="A118" s="7" t="inlineStr">
        <is>
          <t>2026-07-27</t>
        </is>
      </c>
      <c r="B118" s="7" t="inlineStr">
        <is>
          <t>Roku for Disney</t>
        </is>
      </c>
      <c r="C118" s="7" t="inlineStr">
        <is>
          <t>Subscriptions</t>
        </is>
      </c>
      <c r="D118" s="23" t="n">
        <v>18.07</v>
      </c>
    </row>
    <row r="119" ht="17" customHeight="1">
      <c r="A119" s="7" t="inlineStr">
        <is>
          <t>2026-07-27</t>
        </is>
      </c>
      <c r="B119" s="7" t="inlineStr">
        <is>
          <t>SHELL C45104</t>
        </is>
      </c>
      <c r="C119" s="7" t="inlineStr">
        <is>
          <t>Gas</t>
        </is>
      </c>
      <c r="D119" s="23" t="n">
        <v>2.25</v>
      </c>
    </row>
    <row r="120" ht="17" customHeight="1">
      <c r="A120" s="7" t="inlineStr">
        <is>
          <t>2026-07-27</t>
        </is>
      </c>
      <c r="B120" s="7" t="inlineStr">
        <is>
          <t>UBER CANADA/UBE</t>
        </is>
      </c>
      <c r="C120" s="7" t="inlineStr">
        <is>
          <t>Takeout (personal)</t>
        </is>
      </c>
      <c r="D120" s="23" t="n">
        <v>31.63</v>
      </c>
    </row>
    <row r="121" ht="17" customHeight="1">
      <c r="A121" s="7" t="inlineStr">
        <is>
          <t>2026-07-27</t>
        </is>
      </c>
      <c r="B121" s="7" t="inlineStr">
        <is>
          <t>WENDY?S</t>
        </is>
      </c>
      <c r="C121" s="7" t="inlineStr">
        <is>
          <t>Takeout (personal)</t>
        </is>
      </c>
      <c r="D121" s="23" t="n">
        <v>16.37</v>
      </c>
    </row>
    <row r="122" ht="17" customHeight="1">
      <c r="A122" s="7" t="inlineStr">
        <is>
          <t>2026-07-28</t>
        </is>
      </c>
      <c r="B122" s="7" t="inlineStr">
        <is>
          <t>A W # 4905</t>
        </is>
      </c>
      <c r="C122" s="7" t="inlineStr">
        <is>
          <t>Takeout (personal)</t>
        </is>
      </c>
      <c r="D122" s="23" t="n">
        <v>16.71</v>
      </c>
    </row>
    <row r="123" ht="17" customHeight="1">
      <c r="A123" s="7" t="inlineStr">
        <is>
          <t>2026-07-28</t>
        </is>
      </c>
      <c r="B123" s="7" t="inlineStr">
        <is>
          <t>CAMBRIDGE GB 62</t>
        </is>
      </c>
      <c r="C123" s="7" t="inlineStr">
        <is>
          <t>Vapes &amp; convenience</t>
        </is>
      </c>
      <c r="D123" s="23" t="n">
        <v>40</v>
      </c>
    </row>
    <row r="124" ht="17" customHeight="1">
      <c r="A124" s="7" t="inlineStr">
        <is>
          <t>2026-07-28</t>
        </is>
      </c>
      <c r="B124" s="7" t="inlineStr">
        <is>
          <t>GALT MINI MART</t>
        </is>
      </c>
      <c r="C124" s="7" t="inlineStr">
        <is>
          <t>Vapes &amp; convenience</t>
        </is>
      </c>
      <c r="D124" s="23" t="n">
        <v>25.82</v>
      </c>
    </row>
    <row r="125" ht="17" customHeight="1">
      <c r="A125" s="7" t="inlineStr">
        <is>
          <t>2026-07-28</t>
        </is>
      </c>
      <c r="B125" s="7" t="inlineStr">
        <is>
          <t>GALT MINI MART</t>
        </is>
      </c>
      <c r="C125" s="7" t="inlineStr">
        <is>
          <t>Vapes &amp; convenience</t>
        </is>
      </c>
      <c r="D125" s="23" t="n">
        <v>51.97</v>
      </c>
    </row>
    <row r="126" ht="17" customHeight="1">
      <c r="A126" s="7" t="inlineStr">
        <is>
          <t>2026-07-28</t>
        </is>
      </c>
      <c r="B126" s="7" t="inlineStr">
        <is>
          <t>SHOPPERS DRUG M</t>
        </is>
      </c>
      <c r="C126" s="7" t="inlineStr">
        <is>
          <t>Health / pharmacy</t>
        </is>
      </c>
      <c r="D126" s="23" t="n">
        <v>11.61</v>
      </c>
    </row>
    <row r="127" ht="17" customHeight="1">
      <c r="A127" s="7" t="inlineStr">
        <is>
          <t>2026-07-29</t>
        </is>
      </c>
      <c r="B127" s="7" t="inlineStr">
        <is>
          <t>FRESHCO #2932</t>
        </is>
      </c>
      <c r="C127" s="7" t="inlineStr">
        <is>
          <t>Groceries</t>
        </is>
      </c>
      <c r="D127" s="23" t="n">
        <v>9.92</v>
      </c>
    </row>
    <row r="128" ht="17" customHeight="1">
      <c r="A128" s="7" t="inlineStr">
        <is>
          <t>2026-07-29</t>
        </is>
      </c>
      <c r="B128" s="7" t="inlineStr">
        <is>
          <t>MCDONALD'S # 11</t>
        </is>
      </c>
      <c r="C128" s="7" t="inlineStr">
        <is>
          <t>Takeout (personal)</t>
        </is>
      </c>
      <c r="D128" s="23" t="n">
        <v>12.52</v>
      </c>
    </row>
    <row r="129" ht="17" customHeight="1">
      <c r="A129" s="7" t="inlineStr">
        <is>
          <t>2026-07-29</t>
        </is>
      </c>
      <c r="B129" s="7" t="inlineStr">
        <is>
          <t>PETRO-CANADA 35</t>
        </is>
      </c>
      <c r="C129" s="7" t="inlineStr">
        <is>
          <t>Gas</t>
        </is>
      </c>
      <c r="D129" s="23" t="n">
        <v>25</v>
      </c>
    </row>
    <row r="130" ht="17" customHeight="1">
      <c r="A130" s="7" t="inlineStr">
        <is>
          <t>2026-07-29</t>
        </is>
      </c>
      <c r="B130" s="7" t="inlineStr">
        <is>
          <t>PLAYSTATIO</t>
        </is>
      </c>
      <c r="C130" s="7" t="inlineStr">
        <is>
          <t>Subscriptions</t>
        </is>
      </c>
      <c r="D130" s="23" t="n">
        <v>45.19</v>
      </c>
    </row>
    <row r="131" ht="17" customHeight="1">
      <c r="A131" s="7" t="inlineStr">
        <is>
          <t>2026-07-29</t>
        </is>
      </c>
      <c r="B131" s="7" t="inlineStr">
        <is>
          <t>Rogers — internet</t>
        </is>
      </c>
      <c r="C131" s="7" t="inlineStr">
        <is>
          <t>Internet (Rogers)</t>
        </is>
      </c>
      <c r="D131" s="23" t="n">
        <v>250.78</v>
      </c>
    </row>
    <row r="132" ht="17" customHeight="1">
      <c r="A132" s="7" t="inlineStr">
        <is>
          <t>2026-07-29</t>
        </is>
      </c>
      <c r="B132" s="7" t="inlineStr">
        <is>
          <t>SHELL C80146</t>
        </is>
      </c>
      <c r="C132" s="7" t="inlineStr">
        <is>
          <t>Gas</t>
        </is>
      </c>
      <c r="D132" s="23" t="n">
        <v>1.91</v>
      </c>
    </row>
    <row r="133" ht="17" customHeight="1">
      <c r="A133" s="7" t="inlineStr">
        <is>
          <t>2026-07-29</t>
        </is>
      </c>
      <c r="B133" s="7" t="inlineStr">
        <is>
          <t>WENDY'S</t>
        </is>
      </c>
      <c r="C133" s="7" t="inlineStr">
        <is>
          <t>Takeout (personal)</t>
        </is>
      </c>
      <c r="D133" s="23" t="n">
        <v>14.63</v>
      </c>
    </row>
    <row r="134" ht="17" customHeight="1">
      <c r="A134" s="7" t="inlineStr">
        <is>
          <t>2026-07-30</t>
        </is>
      </c>
      <c r="B134" s="7" t="inlineStr">
        <is>
          <t>AIR-SERV A AN03</t>
        </is>
      </c>
      <c r="C134" s="7" t="inlineStr">
        <is>
          <t>Gas</t>
        </is>
      </c>
      <c r="D134" s="23" t="n">
        <v>2.5</v>
      </c>
    </row>
    <row r="135" ht="17" customHeight="1">
      <c r="A135" s="7" t="inlineStr">
        <is>
          <t>2026-07-30</t>
        </is>
      </c>
      <c r="B135" s="7" t="inlineStr">
        <is>
          <t>CREW CHIEF PETR</t>
        </is>
      </c>
      <c r="C135" s="7" t="inlineStr">
        <is>
          <t>Gas</t>
        </is>
      </c>
      <c r="D135" s="23" t="n">
        <v>20</v>
      </c>
    </row>
    <row r="136" ht="17" customHeight="1">
      <c r="A136" s="7" t="inlineStr">
        <is>
          <t>2026-07-30</t>
        </is>
      </c>
      <c r="B136" s="7" t="inlineStr">
        <is>
          <t>GALT MINI MART</t>
        </is>
      </c>
      <c r="C136" s="7" t="inlineStr">
        <is>
          <t>Vapes &amp; convenience</t>
        </is>
      </c>
      <c r="D136" s="23" t="n">
        <v>55.46</v>
      </c>
    </row>
    <row r="137" ht="17" customHeight="1">
      <c r="A137" s="7" t="inlineStr">
        <is>
          <t>2026-07-30</t>
        </is>
      </c>
      <c r="B137" s="7" t="inlineStr">
        <is>
          <t>LITTLE CAESARS</t>
        </is>
      </c>
      <c r="C137" s="7" t="inlineStr">
        <is>
          <t>Takeout (personal)</t>
        </is>
      </c>
      <c r="D137" s="23" t="n">
        <v>16.93</v>
      </c>
    </row>
    <row r="138" ht="17" customHeight="1">
      <c r="A138" s="7" t="inlineStr">
        <is>
          <t>2026-07-30</t>
        </is>
      </c>
      <c r="B138" s="7" t="inlineStr">
        <is>
          <t>MCDONALD'S # 11</t>
        </is>
      </c>
      <c r="C138" s="7" t="inlineStr">
        <is>
          <t>Takeout (personal)</t>
        </is>
      </c>
      <c r="D138" s="23" t="n">
        <v>10.72</v>
      </c>
    </row>
    <row r="139" ht="17" customHeight="1">
      <c r="A139" s="7" t="inlineStr">
        <is>
          <t>2026-07-30</t>
        </is>
      </c>
      <c r="B139" s="7" t="inlineStr">
        <is>
          <t>PIONEER STN #10</t>
        </is>
      </c>
      <c r="C139" s="7" t="inlineStr">
        <is>
          <t>Gas</t>
        </is>
      </c>
      <c r="D139" s="23" t="n">
        <v>22.01</v>
      </c>
    </row>
    <row r="140" ht="17" customHeight="1">
      <c r="A140" s="7" t="inlineStr">
        <is>
          <t>2026-07-30</t>
        </is>
      </c>
      <c r="B140" s="7" t="inlineStr">
        <is>
          <t>SHOPPERS DRUG M</t>
        </is>
      </c>
      <c r="C140" s="7" t="inlineStr">
        <is>
          <t>Health / pharmacy</t>
        </is>
      </c>
      <c r="D140" s="23" t="n">
        <v>34.91</v>
      </c>
    </row>
    <row r="141" ht="17" customHeight="1">
      <c r="A141" s="7" t="inlineStr">
        <is>
          <t>2026-07-31</t>
        </is>
      </c>
      <c r="B141" s="7" t="inlineStr">
        <is>
          <t>DOLLARAMA # 620</t>
        </is>
      </c>
      <c r="C141" s="7" t="inlineStr">
        <is>
          <t>Household / other</t>
        </is>
      </c>
      <c r="D141" s="23" t="n">
        <v>7.63</v>
      </c>
    </row>
    <row r="142" ht="17" customHeight="1">
      <c r="A142" s="7" t="inlineStr">
        <is>
          <t>2026-07-31</t>
        </is>
      </c>
      <c r="B142" s="7" t="inlineStr">
        <is>
          <t>GALT MINI MART</t>
        </is>
      </c>
      <c r="C142" s="7" t="inlineStr">
        <is>
          <t>Vapes &amp; convenience</t>
        </is>
      </c>
      <c r="D142" s="23" t="n">
        <v>21.33</v>
      </c>
    </row>
    <row r="143" ht="17" customHeight="1">
      <c r="A143" s="7" t="inlineStr">
        <is>
          <t>2026-07-31</t>
        </is>
      </c>
      <c r="B143" s="7" t="inlineStr">
        <is>
          <t>MCDONALD'S # 11</t>
        </is>
      </c>
      <c r="C143" s="7" t="inlineStr">
        <is>
          <t>Takeout (personal)</t>
        </is>
      </c>
      <c r="D143" s="23" t="n">
        <v>10.72</v>
      </c>
    </row>
    <row r="144" ht="17" customHeight="1">
      <c r="A144" s="7" t="inlineStr">
        <is>
          <t>2026-07-31</t>
        </is>
      </c>
      <c r="B144" s="7" t="inlineStr">
        <is>
          <t>ST. LOUIS BAR</t>
        </is>
      </c>
      <c r="C144" s="7" t="inlineStr">
        <is>
          <t>Takeout (personal)</t>
        </is>
      </c>
      <c r="D144" s="23" t="n">
        <v>26.66</v>
      </c>
    </row>
    <row r="145" ht="17" customHeight="1">
      <c r="A145" s="7" t="inlineStr">
        <is>
          <t>2026-07-31</t>
        </is>
      </c>
      <c r="B145" s="7" t="inlineStr">
        <is>
          <t>SUBWAY 74851</t>
        </is>
      </c>
      <c r="C145" s="7" t="inlineStr">
        <is>
          <t>Takeout (personal)</t>
        </is>
      </c>
      <c r="D145" s="23" t="n">
        <v>16.59</v>
      </c>
    </row>
    <row r="146" ht="17" customHeight="1">
      <c r="A146" s="7" t="inlineStr">
        <is>
          <t>2026-07-31</t>
        </is>
      </c>
      <c r="B146" s="7" t="inlineStr">
        <is>
          <t>TD monthly account fee</t>
        </is>
      </c>
      <c r="C146" s="7" t="inlineStr">
        <is>
          <t>Household / other</t>
        </is>
      </c>
      <c r="D146" s="23" t="n">
        <v>17.95</v>
      </c>
    </row>
    <row r="147" ht="17" customHeight="1">
      <c r="B147" s="24" t="inlineStr">
        <is>
          <t>July total spending →</t>
        </is>
      </c>
      <c r="D147" s="25">
        <f>SUM(D5:D146)</f>
        <v/>
      </c>
    </row>
    <row r="148" ht="17" customHeight="1"/>
    <row r="149" ht="17" customHeight="1">
      <c r="A149" s="2" t="inlineStr">
        <is>
          <t>Add new months below — pick a Category from the dropdown so it flows into the Budget:</t>
        </is>
      </c>
    </row>
    <row r="150" ht="17" customHeight="1">
      <c r="D150" s="26" t="n"/>
    </row>
    <row r="151" ht="17" customHeight="1">
      <c r="D151" s="26" t="n"/>
    </row>
    <row r="152" ht="17" customHeight="1">
      <c r="D152" s="26" t="n"/>
    </row>
    <row r="153" ht="17" customHeight="1">
      <c r="D153" s="26" t="n"/>
    </row>
    <row r="154" ht="17" customHeight="1">
      <c r="D154" s="26" t="n"/>
    </row>
    <row r="155" ht="17" customHeight="1">
      <c r="D155" s="26" t="n"/>
    </row>
    <row r="156" ht="17" customHeight="1">
      <c r="D156" s="26" t="n"/>
    </row>
    <row r="157" ht="17" customHeight="1">
      <c r="D157" s="26" t="n"/>
    </row>
    <row r="158" ht="17" customHeight="1">
      <c r="D158" s="26" t="n"/>
    </row>
    <row r="159" ht="17" customHeight="1">
      <c r="D159" s="26" t="n"/>
    </row>
    <row r="160" ht="17" customHeight="1">
      <c r="D160" s="26" t="n"/>
    </row>
    <row r="161" ht="17" customHeight="1">
      <c r="D161" s="26" t="n"/>
    </row>
    <row r="162" ht="17" customHeight="1">
      <c r="D162" s="26" t="n"/>
    </row>
    <row r="163" ht="17" customHeight="1">
      <c r="D163" s="26" t="n"/>
    </row>
    <row r="164" ht="17" customHeight="1">
      <c r="D164" s="26" t="n"/>
    </row>
    <row r="165" ht="17" customHeight="1">
      <c r="D165" s="26" t="n"/>
    </row>
    <row r="166" ht="17" customHeight="1">
      <c r="D166" s="26" t="n"/>
    </row>
    <row r="167" ht="17" customHeight="1">
      <c r="D167" s="26" t="n"/>
    </row>
    <row r="168" ht="17" customHeight="1">
      <c r="D168" s="26" t="n"/>
    </row>
    <row r="169" ht="17" customHeight="1">
      <c r="D169" s="26" t="n"/>
    </row>
    <row r="170" ht="17" customHeight="1">
      <c r="D170" s="26" t="n"/>
    </row>
    <row r="171" ht="17" customHeight="1">
      <c r="D171" s="26" t="n"/>
    </row>
    <row r="172" ht="17" customHeight="1">
      <c r="D172" s="26" t="n"/>
    </row>
    <row r="173" ht="17" customHeight="1">
      <c r="D173" s="26" t="n"/>
    </row>
    <row r="174" ht="17" customHeight="1">
      <c r="D174" s="26" t="n"/>
    </row>
    <row r="175" ht="17" customHeight="1">
      <c r="D175" s="26" t="n"/>
    </row>
    <row r="176" ht="17" customHeight="1">
      <c r="D176" s="26" t="n"/>
    </row>
    <row r="177" ht="17" customHeight="1">
      <c r="D177" s="26" t="n"/>
    </row>
    <row r="178" ht="17" customHeight="1">
      <c r="D178" s="26" t="n"/>
    </row>
    <row r="179" ht="17" customHeight="1">
      <c r="D179" s="26" t="n"/>
    </row>
    <row r="180" ht="17" customHeight="1">
      <c r="D180" s="26" t="n"/>
    </row>
    <row r="181" ht="17" customHeight="1">
      <c r="D181" s="26" t="n"/>
    </row>
    <row r="182" ht="17" customHeight="1">
      <c r="D182" s="26" t="n"/>
    </row>
    <row r="183" ht="17" customHeight="1">
      <c r="D183" s="26" t="n"/>
    </row>
    <row r="184" ht="17" customHeight="1">
      <c r="D184" s="26" t="n"/>
    </row>
    <row r="185" ht="17" customHeight="1">
      <c r="D185" s="26" t="n"/>
    </row>
    <row r="186" ht="17" customHeight="1">
      <c r="D186" s="26" t="n"/>
    </row>
    <row r="187" ht="17" customHeight="1">
      <c r="D187" s="26" t="n"/>
    </row>
    <row r="188" ht="17" customHeight="1">
      <c r="D188" s="26" t="n"/>
    </row>
    <row r="189" ht="17" customHeight="1">
      <c r="D189" s="26"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50 C151 C152 C153 C154 C155 C156 C157 C158 C159 C160 C161 C162 C163 C164 C165 C166 C167 C168 C169 C170 C171 C172 C173 C174 C175 C176 C177 C178 C179 C180 C181 C182 C183 C184 C185 C186 C187 C188 C189" showDropDown="0" showInputMessage="0" showErrorMessage="0" allowBlank="1" type="list">
      <formula1>"Rent,Insurance (home+auto),Phone (Telus, both lines),Internet (Rogers),Hydro (Grandbridge),Student loan,Groceries,Car loan,Gas,Vapes &amp; convenience,Takeout (personal),Subscriptions,Household / other,Health / pharmacy"</formula1>
    </dataValidation>
  </dataValidations>
  <pageMargins left="0.75" right="0.75" top="1" bottom="1" header="0.5" footer="0.5"/>
</worksheet>
</file>

<file path=xl/worksheets/sheet5.xml><?xml version="1.0" encoding="utf-8"?>
<worksheet xmlns="http://schemas.openxmlformats.org/spreadsheetml/2006/main">
  <sheetPr>
    <tabColor rgb="00888888"/>
    <outlinePr summaryBelow="1" summaryRight="1"/>
    <pageSetUpPr/>
  </sheetPr>
  <dimension ref="A1:E14"/>
  <sheetViews>
    <sheetView showGridLines="1"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4" customWidth="1" min="4" max="4"/>
    <col width="16" customWidth="1" min="5" max="5"/>
  </cols>
  <sheetData>
    <row r="1" ht="22" customHeight="1">
      <c r="A1" s="1" t="inlineStr">
        <is>
          <t>Bills</t>
        </is>
      </c>
    </row>
    <row r="2" ht="17" customHeight="1">
      <c r="A2" s="2" t="inlineStr">
        <is>
          <t>Every recurring bill. Yellow = edit.</t>
        </is>
      </c>
    </row>
    <row r="3" ht="17" customHeight="1"/>
    <row r="4" ht="17" customHeight="1">
      <c r="A4" s="9" t="inlineStr">
        <is>
          <t>Bill</t>
        </is>
      </c>
      <c r="B4" s="9" t="inlineStr">
        <is>
          <t>Amount</t>
        </is>
      </c>
      <c r="C4" s="9" t="inlineStr">
        <is>
          <t>Due day</t>
        </is>
      </c>
      <c r="D4" s="9" t="inlineStr">
        <is>
          <t>Frequency</t>
        </is>
      </c>
      <c r="E4" s="9" t="inlineStr">
        <is>
          <t>Pay type</t>
        </is>
      </c>
    </row>
    <row r="5" ht="17" customHeight="1">
      <c r="A5" s="7" t="inlineStr">
        <is>
          <t>Rent</t>
        </is>
      </c>
      <c r="B5" s="27" t="n">
        <v>1900</v>
      </c>
      <c r="C5" s="28" t="inlineStr">
        <is>
          <t>1st</t>
        </is>
      </c>
      <c r="D5" s="28" t="inlineStr">
        <is>
          <t>Monthly</t>
        </is>
      </c>
      <c r="E5" s="29" t="inlineStr">
        <is>
          <t>Manual e-transfer</t>
        </is>
      </c>
    </row>
    <row r="6" ht="17" customHeight="1">
      <c r="A6" s="7" t="inlineStr">
        <is>
          <t>Hydro (Grandbridge)</t>
        </is>
      </c>
      <c r="B6" s="27" t="n">
        <v>115.99</v>
      </c>
      <c r="C6" s="28" t="inlineStr">
        <is>
          <t>2nd</t>
        </is>
      </c>
      <c r="D6" s="28" t="inlineStr">
        <is>
          <t>Monthly</t>
        </is>
      </c>
      <c r="E6" s="29" t="inlineStr">
        <is>
          <t>Manual — $115.99 due Sep 2 (acct …0324-04)</t>
        </is>
      </c>
    </row>
    <row r="7" ht="17" customHeight="1">
      <c r="A7" s="7" t="inlineStr">
        <is>
          <t>Insurance (home+auto)</t>
        </is>
      </c>
      <c r="B7" s="27" t="n">
        <v>402.88</v>
      </c>
      <c r="C7" s="28" t="inlineStr">
        <is>
          <t>7th</t>
        </is>
      </c>
      <c r="D7" s="28" t="inlineStr">
        <is>
          <t>Monthly</t>
        </is>
      </c>
      <c r="E7" s="29" t="inlineStr">
        <is>
          <t>Auto-debit</t>
        </is>
      </c>
    </row>
    <row r="8" ht="17" customHeight="1">
      <c r="A8" s="7" t="inlineStr">
        <is>
          <t>Phone (Telus)</t>
        </is>
      </c>
      <c r="B8" s="27" t="n">
        <v>90</v>
      </c>
      <c r="C8" s="28" t="inlineStr">
        <is>
          <t>~10th</t>
        </is>
      </c>
      <c r="D8" s="28" t="inlineStr">
        <is>
          <t>Monthly</t>
        </is>
      </c>
      <c r="E8" s="29" t="inlineStr">
        <is>
          <t>Manual → set autopay</t>
        </is>
      </c>
    </row>
    <row r="9" ht="17" customHeight="1">
      <c r="A9" s="7" t="inlineStr">
        <is>
          <t>Internet (Rogers)</t>
        </is>
      </c>
      <c r="B9" s="27" t="n">
        <v>143.99</v>
      </c>
      <c r="C9" s="28" t="inlineStr">
        <is>
          <t>28th</t>
        </is>
      </c>
      <c r="D9" s="28" t="inlineStr">
        <is>
          <t>Monthly</t>
        </is>
      </c>
      <c r="E9" s="29" t="inlineStr">
        <is>
          <t>Autopay — ⚠ 1.5 Gbps plan is overkill. Downgrade to save ~$50-60/mo</t>
        </is>
      </c>
    </row>
    <row r="10" ht="17" customHeight="1">
      <c r="A10" s="7" t="inlineStr">
        <is>
          <t>Car loan (VW)</t>
        </is>
      </c>
      <c r="B10" s="27" t="n">
        <v>302.9</v>
      </c>
      <c r="C10" s="28" t="inlineStr">
        <is>
          <t>Fri</t>
        </is>
      </c>
      <c r="D10" s="28" t="inlineStr">
        <is>
          <t>Biweekly</t>
        </is>
      </c>
      <c r="E10" s="29" t="inlineStr">
        <is>
          <t>Auto</t>
        </is>
      </c>
    </row>
    <row r="11" ht="17" customHeight="1">
      <c r="A11" s="7" t="inlineStr">
        <is>
          <t>Student loan (NSLSC)</t>
        </is>
      </c>
      <c r="B11" s="27" t="n">
        <v>25</v>
      </c>
      <c r="C11" s="28" t="inlineStr">
        <is>
          <t>—</t>
        </is>
      </c>
      <c r="D11" s="28" t="inlineStr">
        <is>
          <t>Biweekly</t>
        </is>
      </c>
      <c r="E11" s="29" t="inlineStr">
        <is>
          <t>Auto</t>
        </is>
      </c>
    </row>
    <row r="12" ht="17" customHeight="1">
      <c r="A12" s="7" t="inlineStr">
        <is>
          <t>TD Visa (min)</t>
        </is>
      </c>
      <c r="B12" s="27" t="n">
        <v>65.55</v>
      </c>
      <c r="C12" s="28" t="inlineStr">
        <is>
          <t>17th</t>
        </is>
      </c>
      <c r="D12" s="28" t="inlineStr">
        <is>
          <t>Monthly</t>
        </is>
      </c>
      <c r="E12" s="29" t="inlineStr">
        <is>
          <t>Manual → moving to CIBC 0%</t>
        </is>
      </c>
    </row>
    <row r="13" ht="17" customHeight="1">
      <c r="A13" s="4" t="inlineStr">
        <is>
          <t>Total monthly bills*</t>
        </is>
      </c>
      <c r="B13" s="13">
        <f>B5+B6+B7+B8+B9+(B10+B11)*26/12</f>
        <v/>
      </c>
    </row>
    <row r="14" ht="17" customHeight="1">
      <c r="A14" s="2" t="inlineStr">
        <is>
          <t>*biweekly items converted to a monthly average</t>
        </is>
      </c>
    </row>
  </sheetData>
  <pageMargins left="0.75" right="0.75" top="1" bottom="1" header="0.5" footer="0.5"/>
</worksheet>
</file>

<file path=xl/worksheets/sheet6.xml><?xml version="1.0" encoding="utf-8"?>
<worksheet xmlns="http://schemas.openxmlformats.org/spreadsheetml/2006/main">
  <sheetPr>
    <tabColor rgb="00D03B3B"/>
    <outlinePr summaryBelow="1" summaryRight="1"/>
    <pageSetUpPr/>
  </sheetPr>
  <dimension ref="A1:G11"/>
  <sheetViews>
    <sheetView showGridLines="1" workbookViewId="0">
      <pane ySplit="4" topLeftCell="A5" activePane="bottomLeft" state="frozen"/>
      <selection pane="bottomLeft" activeCell="A1" sqref="A1"/>
    </sheetView>
  </sheetViews>
  <sheetFormatPr baseColWidth="8" defaultRowHeight="15"/>
  <cols>
    <col width="24" customWidth="1" min="1" max="1"/>
    <col width="16" customWidth="1" min="2" max="2"/>
    <col width="10" customWidth="1" min="3" max="3"/>
    <col width="14" customWidth="1" min="4" max="4"/>
    <col width="16" customWidth="1" min="5" max="5"/>
    <col width="20" customWidth="1" min="6" max="6"/>
  </cols>
  <sheetData>
    <row r="1" ht="22" customHeight="1">
      <c r="A1" s="1" t="inlineStr">
        <is>
          <t>Debt Payoff — avalanche order</t>
        </is>
      </c>
    </row>
    <row r="2" ht="17" customHeight="1">
      <c r="A2" s="2" t="inlineStr">
        <is>
          <t>Highest interest first. Update the balance as you pay. Yellow = edit.</t>
        </is>
      </c>
    </row>
    <row r="3" ht="17" customHeight="1"/>
    <row r="4" ht="17" customHeight="1">
      <c r="A4" s="9" t="inlineStr">
        <is>
          <t>Debt</t>
        </is>
      </c>
      <c r="B4" s="9" t="inlineStr">
        <is>
          <t>Balance</t>
        </is>
      </c>
      <c r="C4" s="9" t="inlineStr">
        <is>
          <t>Rate</t>
        </is>
      </c>
      <c r="D4" s="9" t="inlineStr">
        <is>
          <t>Min / mo</t>
        </is>
      </c>
      <c r="E4" s="9" t="inlineStr">
        <is>
          <t>% paid off</t>
        </is>
      </c>
      <c r="F4" s="9" t="inlineStr">
        <is>
          <t>Note</t>
        </is>
      </c>
      <c r="G4" s="30" t="inlineStr">
        <is>
          <t>(original)</t>
        </is>
      </c>
    </row>
    <row r="5" ht="17" customHeight="1">
      <c r="A5" s="7" t="inlineStr">
        <is>
          <t>TD Visa</t>
        </is>
      </c>
      <c r="B5" s="11" t="n">
        <v>1359.07</v>
      </c>
      <c r="C5" s="31" t="n">
        <v>0.27</v>
      </c>
      <c r="D5" s="32" t="n">
        <v>65.55</v>
      </c>
      <c r="E5" s="33">
        <f>IFERROR(1-B5/G5,0)</f>
        <v/>
      </c>
      <c r="F5" s="12" t="inlineStr">
        <is>
          <t>#1 — move to CIBC 0%, then crush it. Paid $80 + $65.55; down from $1,455</t>
        </is>
      </c>
      <c r="G5" s="34" t="n">
        <v>1455</v>
      </c>
    </row>
    <row r="6" ht="17" customHeight="1">
      <c r="A6" s="7" t="inlineStr">
        <is>
          <t>Dad (personal)</t>
        </is>
      </c>
      <c r="B6" s="11" t="n">
        <v>0</v>
      </c>
      <c r="C6" s="31" t="n">
        <v>0</v>
      </c>
      <c r="D6" s="32" t="n">
        <v>0</v>
      </c>
      <c r="E6" s="33">
        <f>IFERROR(1-B6/G6,0)</f>
        <v/>
      </c>
      <c r="F6" s="12" t="inlineStr">
        <is>
          <t>WAIVED by Dad ✓ — stays gone as long as you hold $500+ in savings from Sept 1 &amp; keep growing it</t>
        </is>
      </c>
      <c r="G6" s="34" t="n">
        <v>800</v>
      </c>
    </row>
    <row r="7" ht="17" customHeight="1">
      <c r="A7" s="7" t="inlineStr">
        <is>
          <t>Brother's PC</t>
        </is>
      </c>
      <c r="B7" s="11" t="n">
        <v>400</v>
      </c>
      <c r="C7" s="31" t="n">
        <v>0</v>
      </c>
      <c r="D7" s="32" t="n">
        <v>0</v>
      </c>
      <c r="E7" s="33">
        <f>IFERROR(1-B7/G7,0)</f>
        <v/>
      </c>
      <c r="F7" s="12" t="inlineStr">
        <is>
          <t>0% family</t>
        </is>
      </c>
      <c r="G7" s="34" t="n">
        <v>950</v>
      </c>
    </row>
    <row r="8" ht="17" customHeight="1">
      <c r="A8" s="7" t="inlineStr">
        <is>
          <t>Student loan</t>
        </is>
      </c>
      <c r="B8" s="11" t="n">
        <v>614</v>
      </c>
      <c r="C8" s="31" t="n">
        <v>0.03</v>
      </c>
      <c r="D8" s="32" t="n">
        <v>25</v>
      </c>
      <c r="E8" s="33">
        <f>IFERROR(1-B8/G8,0)</f>
        <v/>
      </c>
      <c r="F8" s="12" t="inlineStr">
        <is>
          <t>nearly gone</t>
        </is>
      </c>
      <c r="G8" s="34" t="n">
        <v>1000</v>
      </c>
    </row>
    <row r="9" ht="17" customHeight="1">
      <c r="A9" s="7" t="inlineStr">
        <is>
          <t>Car loan (VW)</t>
        </is>
      </c>
      <c r="B9" s="11" t="n">
        <v>38886</v>
      </c>
      <c r="C9" s="31" t="n">
        <v>0.0529</v>
      </c>
      <c r="D9" s="32" t="n">
        <v>302.9</v>
      </c>
      <c r="E9" s="33">
        <f>IFERROR(1-B9/G9,0)</f>
        <v/>
      </c>
      <c r="F9" s="12" t="inlineStr">
        <is>
          <t>paid by work reimbursement — leave it</t>
        </is>
      </c>
      <c r="G9" s="34" t="n">
        <v>42000</v>
      </c>
    </row>
    <row r="10" ht="17" customHeight="1">
      <c r="A10" s="4" t="inlineStr">
        <is>
          <t>Total owed</t>
        </is>
      </c>
      <c r="B10" s="13">
        <f>SUM(B5:B9)</f>
        <v/>
      </c>
    </row>
    <row r="11" ht="17" customHeight="1">
      <c r="A11" s="35" t="inlineStr">
        <is>
          <t>Consumer debt (excl. car)</t>
        </is>
      </c>
      <c r="B11" s="36">
        <f>SUM(B5:B8)</f>
        <v/>
      </c>
    </row>
  </sheetData>
  <pageMargins left="0.75" right="0.75" top="1" bottom="1" header="0.5" footer="0.5"/>
</worksheet>
</file>

<file path=xl/worksheets/sheet7.xml><?xml version="1.0" encoding="utf-8"?>
<worksheet xmlns="http://schemas.openxmlformats.org/spreadsheetml/2006/main">
  <sheetPr>
    <tabColor rgb="005B6470"/>
    <outlinePr summaryBelow="1" summaryRight="1"/>
    <pageSetUpPr/>
  </sheetPr>
  <dimension ref="A1:F28"/>
  <sheetViews>
    <sheetView showGridLines="1"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30" customWidth="1" min="6" max="6"/>
  </cols>
  <sheetData>
    <row r="1" ht="22" customHeight="1">
      <c r="A1" s="1" t="inlineStr">
        <is>
          <t>Household Net Worth (Steven + Hannah)</t>
        </is>
      </c>
    </row>
    <row r="2" ht="17" customHeight="1">
      <c r="A2" s="2" t="inlineStr">
        <is>
          <t>Update a column each month. Watching it climb is the real scoreboard. Yellow = edit.</t>
        </is>
      </c>
    </row>
    <row r="3" ht="17" customHeight="1"/>
    <row r="4" ht="17" customHeight="1">
      <c r="A4" s="9" t="inlineStr">
        <is>
          <t>Item</t>
        </is>
      </c>
      <c r="B4" s="9" t="inlineStr">
        <is>
          <t>Jul 2026</t>
        </is>
      </c>
      <c r="C4" s="9" t="inlineStr">
        <is>
          <t>Aug 2026</t>
        </is>
      </c>
      <c r="D4" s="9" t="inlineStr">
        <is>
          <t>Sep 2026</t>
        </is>
      </c>
      <c r="E4" s="9" t="inlineStr">
        <is>
          <t>Oct 2026</t>
        </is>
      </c>
      <c r="F4" s="9" t="inlineStr">
        <is>
          <t>Notes</t>
        </is>
      </c>
    </row>
    <row r="5" ht="17" customHeight="1">
      <c r="A5" s="10" t="inlineStr">
        <is>
          <t>ASSETS</t>
        </is>
      </c>
    </row>
    <row r="6" ht="17" customHeight="1">
      <c r="A6" s="7" t="inlineStr">
        <is>
          <t>Steven — TD chequing</t>
        </is>
      </c>
      <c r="B6" s="11" t="n">
        <v>107.26</v>
      </c>
      <c r="C6" s="11" t="n"/>
      <c r="D6" s="11" t="n"/>
      <c r="E6" s="11" t="n"/>
      <c r="F6" s="12" t="inlineStr">
        <is>
          <t>real-time, low — transient</t>
        </is>
      </c>
    </row>
    <row r="7" ht="17" customHeight="1">
      <c r="A7" s="7" t="inlineStr">
        <is>
          <t>Steven — CIBC chequing (Sept vault)</t>
        </is>
      </c>
      <c r="B7" s="11" t="n">
        <v>1615</v>
      </c>
      <c r="C7" s="11" t="n"/>
      <c r="D7" s="11" t="n"/>
      <c r="E7" s="11" t="n"/>
      <c r="F7" s="12" t="inlineStr">
        <is>
          <t>the vault — Sept bills, held untouched</t>
        </is>
      </c>
    </row>
    <row r="8" ht="17" customHeight="1">
      <c r="A8" s="7" t="inlineStr">
        <is>
          <t>Steven — CIBC savings (★$500 goal ✓)</t>
        </is>
      </c>
      <c r="B8" s="11" t="n">
        <v>500.01</v>
      </c>
      <c r="C8" s="11" t="n"/>
      <c r="D8" s="11" t="n"/>
      <c r="E8" s="11" t="n"/>
      <c r="F8" s="12" t="inlineStr">
        <is>
          <t>$500 goal HIT Aug 18 — keeps Dad's $800 waiver while held</t>
        </is>
      </c>
    </row>
    <row r="9" ht="17" customHeight="1">
      <c r="A9" s="7" t="inlineStr">
        <is>
          <t>Hannah — RBC chequing</t>
        </is>
      </c>
      <c r="B9" s="11" t="n">
        <v>113</v>
      </c>
      <c r="C9" s="11" t="n"/>
      <c r="D9" s="11" t="n"/>
      <c r="E9" s="11" t="n"/>
      <c r="F9" s="12" t="inlineStr">
        <is>
          <t>she forwards ~$1,968/mo to the family; runs near $0</t>
        </is>
      </c>
    </row>
    <row r="10" ht="17" customHeight="1">
      <c r="A10" s="7" t="inlineStr">
        <is>
          <t>Hannah — RPP (work pension)</t>
        </is>
      </c>
      <c r="B10" s="11" t="n">
        <v>4369.56</v>
      </c>
      <c r="C10" s="11" t="n"/>
      <c r="D10" s="11" t="n"/>
      <c r="E10" s="11" t="n"/>
      <c r="F10" s="12" t="inlineStr">
        <is>
          <t>+15.6% YTD. Small locked pension — transfer to RRSP/LIRA, don't cash if you can help it</t>
        </is>
      </c>
    </row>
    <row r="11" ht="17" customHeight="1">
      <c r="A11" s="7" t="inlineStr">
        <is>
          <t>Hannah — DPSP (work)</t>
        </is>
      </c>
      <c r="B11" s="11" t="n">
        <v>3578.67</v>
      </c>
      <c r="C11" s="11" t="n"/>
      <c r="D11" s="11" t="n"/>
      <c r="E11" s="11" t="n"/>
      <c r="F11" s="12" t="inlineStr">
        <is>
          <t>+17.7% YTD. Transfer to an RRSP TAX-FREE (Form T2151) — cashing it is taxed + loses the growth</t>
        </is>
      </c>
    </row>
    <row r="12" ht="17" customHeight="1">
      <c r="A12" s="7" t="inlineStr">
        <is>
          <t>TFSA / RRSP / investments</t>
        </is>
      </c>
      <c r="B12" s="11" t="n">
        <v>0</v>
      </c>
      <c r="C12" s="11" t="n"/>
      <c r="D12" s="11" t="n"/>
      <c r="E12" s="11" t="n"/>
      <c r="F12" s="12" t="inlineStr">
        <is>
          <t>none yet — the future</t>
        </is>
      </c>
    </row>
    <row r="13" ht="17" customHeight="1">
      <c r="A13" s="7" t="inlineStr">
        <is>
          <t>Car (market value)</t>
        </is>
      </c>
      <c r="B13" s="11" t="n">
        <v>28000</v>
      </c>
      <c r="C13" s="11" t="n"/>
      <c r="D13" s="11" t="n"/>
      <c r="E13" s="11" t="n"/>
      <c r="F13" s="12" t="inlineStr">
        <is>
          <t>estimate — check a trade-in value</t>
        </is>
      </c>
    </row>
    <row r="14" ht="17" customHeight="1">
      <c r="A14" s="4" t="inlineStr">
        <is>
          <t>Total assets</t>
        </is>
      </c>
      <c r="B14" s="13">
        <f>SUM(B6:B13)</f>
        <v/>
      </c>
      <c r="C14" s="13">
        <f>SUM(C6:C13)</f>
        <v/>
      </c>
      <c r="D14" s="13">
        <f>SUM(D6:D13)</f>
        <v/>
      </c>
      <c r="E14" s="13">
        <f>SUM(E6:E13)</f>
        <v/>
      </c>
    </row>
    <row r="15" ht="17" customHeight="1"/>
    <row r="16" ht="17" customHeight="1">
      <c r="A16" s="10" t="inlineStr">
        <is>
          <t>LIABILITIES (what you owe)</t>
        </is>
      </c>
    </row>
    <row r="17" ht="17" customHeight="1">
      <c r="A17" s="7" t="inlineStr">
        <is>
          <t>TD Visa</t>
        </is>
      </c>
      <c r="B17" s="11" t="n">
        <v>1359.07</v>
      </c>
      <c r="C17" s="11" t="n"/>
      <c r="D17" s="11" t="n"/>
      <c r="E17" s="11" t="n"/>
    </row>
    <row r="18" ht="17" customHeight="1">
      <c r="A18" s="7" t="inlineStr">
        <is>
          <t>Dad (waived ✓)</t>
        </is>
      </c>
      <c r="B18" s="11" t="n">
        <v>0</v>
      </c>
      <c r="C18" s="11" t="n"/>
      <c r="D18" s="11" t="n"/>
      <c r="E18" s="11" t="n"/>
    </row>
    <row r="19" ht="17" customHeight="1">
      <c r="A19" s="7" t="inlineStr">
        <is>
          <t>Brother's PC</t>
        </is>
      </c>
      <c r="B19" s="11" t="n">
        <v>400</v>
      </c>
      <c r="C19" s="11" t="n"/>
      <c r="D19" s="11" t="n"/>
      <c r="E19" s="11" t="n"/>
    </row>
    <row r="20" ht="17" customHeight="1">
      <c r="A20" s="7" t="inlineStr">
        <is>
          <t>Student loan</t>
        </is>
      </c>
      <c r="B20" s="11" t="n">
        <v>614</v>
      </c>
      <c r="C20" s="11" t="n"/>
      <c r="D20" s="11" t="n"/>
      <c r="E20" s="11" t="n"/>
    </row>
    <row r="21" ht="17" customHeight="1">
      <c r="A21" s="7" t="inlineStr">
        <is>
          <t>Car loan</t>
        </is>
      </c>
      <c r="B21" s="11" t="n">
        <v>38886</v>
      </c>
      <c r="C21" s="11" t="n"/>
      <c r="D21" s="11" t="n"/>
      <c r="E21" s="11" t="n"/>
    </row>
    <row r="22" ht="17" customHeight="1">
      <c r="A22" s="4" t="inlineStr">
        <is>
          <t>Total owed</t>
        </is>
      </c>
      <c r="B22" s="13">
        <f>SUM(B17:B21)</f>
        <v/>
      </c>
      <c r="C22" s="13">
        <f>SUM(C17:C21)</f>
        <v/>
      </c>
      <c r="D22" s="13">
        <f>SUM(D17:D21)</f>
        <v/>
      </c>
      <c r="E22" s="13">
        <f>SUM(E17:E21)</f>
        <v/>
      </c>
    </row>
    <row r="23" ht="17" customHeight="1"/>
    <row r="24" ht="17" customHeight="1">
      <c r="A24" s="37" t="inlineStr">
        <is>
          <t>NET WORTH</t>
        </is>
      </c>
      <c r="B24" s="38">
        <f>B14-B22</f>
        <v/>
      </c>
      <c r="C24" s="38">
        <f>C14-C22</f>
        <v/>
      </c>
      <c r="D24" s="38">
        <f>D14-D22</f>
        <v/>
      </c>
      <c r="E24" s="38">
        <f>E14-E22</f>
        <v/>
      </c>
    </row>
    <row r="25" ht="17" customHeight="1">
      <c r="A25" s="2" t="inlineStr">
        <is>
          <t>Negative for now (the car loan). The number climbing each month is what matters.</t>
        </is>
      </c>
    </row>
    <row r="26" ht="17" customHeight="1">
      <c r="A26" s="2" t="inlineStr">
        <is>
          <t>All debts above are Steven's — Hannah carries none (she uses debit, no credit debt). Good for the household.</t>
        </is>
      </c>
    </row>
    <row r="27" ht="17" customHeight="1">
      <c r="A27" s="2" t="inlineStr">
        <is>
          <t>Hannah's RPP+DPSP = $7,948 of real retirement savings, growing ~16%/yr. Adding them lifts household net worth a lot.</t>
        </is>
      </c>
    </row>
    <row r="28" ht="17" customHeight="1">
      <c r="A28" s="39" t="inlineStr">
        <is>
          <t>EI ENDS OCTOBER 2026 — plan is Hannah stays home (baby + homeschool). Her contribution then drops to mostly child benefits.</t>
        </is>
      </c>
    </row>
  </sheetData>
  <pageMargins left="0.75" right="0.75" top="1" bottom="1" header="0.5" footer="0.5"/>
</worksheet>
</file>

<file path=xl/worksheets/sheet8.xml><?xml version="1.0" encoding="utf-8"?>
<worksheet xmlns="http://schemas.openxmlformats.org/spreadsheetml/2006/main">
  <sheetPr>
    <tabColor rgb="0012A06F"/>
    <outlinePr summaryBelow="1" summaryRight="1"/>
    <pageSetUpPr/>
  </sheetPr>
  <dimension ref="A1:E16"/>
  <sheetViews>
    <sheetView showGridLines="1"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26" customWidth="1" min="5" max="5"/>
  </cols>
  <sheetData>
    <row r="1" ht="22" customHeight="1">
      <c r="A1" s="1" t="inlineStr">
        <is>
          <t>Savings &amp; Sinking Funds</t>
        </is>
      </c>
    </row>
    <row r="2" ht="17" customHeight="1">
      <c r="A2" s="2" t="inlineStr">
        <is>
          <t>Sinking funds = save a little monthly for big irregular costs so they never ambush you. Yellow = edit.</t>
        </is>
      </c>
    </row>
    <row r="3" ht="17" customHeight="1"/>
    <row r="4" ht="17" customHeight="1">
      <c r="A4" s="9" t="inlineStr">
        <is>
          <t>Goal / fund</t>
        </is>
      </c>
      <c r="B4" s="9" t="inlineStr">
        <is>
          <t>Target</t>
        </is>
      </c>
      <c r="C4" s="9" t="inlineStr">
        <is>
          <t>Saved so far</t>
        </is>
      </c>
      <c r="D4" s="9" t="inlineStr">
        <is>
          <t>Monthly set-aside</t>
        </is>
      </c>
      <c r="E4" s="9" t="inlineStr">
        <is>
          <t>Notes</t>
        </is>
      </c>
    </row>
    <row r="5" ht="17" customHeight="1">
      <c r="A5" s="10" t="inlineStr">
        <is>
          <t>EMERGENCY FUND (the ladder)</t>
        </is>
      </c>
    </row>
    <row r="6" ht="17" customHeight="1">
      <c r="A6" s="7" t="inlineStr">
        <is>
          <t>★ $500 goal — HIT Aug 18 ✓ (keeps Dad's waiver)</t>
        </is>
      </c>
      <c r="B6" s="11" t="n">
        <v>500</v>
      </c>
      <c r="C6" s="11" t="n">
        <v>500</v>
      </c>
      <c r="D6" s="11" t="n">
        <v>500</v>
      </c>
      <c r="E6" s="12" t="inlineStr">
        <is>
          <t>DONE early! Dad waives the $800 as long as you HOLD this $500+. Don't spend it down.</t>
        </is>
      </c>
    </row>
    <row r="7" ht="17" customHeight="1">
      <c r="A7" s="7" t="inlineStr">
        <is>
          <t>1 month of essentials</t>
        </is>
      </c>
      <c r="B7" s="11" t="n">
        <v>4400</v>
      </c>
      <c r="C7" s="11" t="n">
        <v>0</v>
      </c>
      <c r="D7" s="11" t="n">
        <v>100</v>
      </c>
      <c r="E7" s="12" t="inlineStr">
        <is>
          <t>first real safety net</t>
        </is>
      </c>
    </row>
    <row r="8" ht="17" customHeight="1">
      <c r="A8" s="7" t="inlineStr">
        <is>
          <t>3 months (full e-fund)</t>
        </is>
      </c>
      <c r="B8" s="11" t="n">
        <v>10000</v>
      </c>
      <c r="C8" s="11" t="n">
        <v>0</v>
      </c>
      <c r="D8" s="11" t="n">
        <v>100</v>
      </c>
      <c r="E8" s="12" t="inlineStr">
        <is>
          <t>the target — automate it</t>
        </is>
      </c>
    </row>
    <row r="9" ht="17" customHeight="1"/>
    <row r="10" ht="17" customHeight="1">
      <c r="A10" s="10" t="inlineStr">
        <is>
          <t>SINKING FUNDS (irregular costs)</t>
        </is>
      </c>
    </row>
    <row r="11" ht="17" customHeight="1">
      <c r="A11" s="7" t="inlineStr">
        <is>
          <t>Car maintenance / tires</t>
        </is>
      </c>
      <c r="B11" s="11" t="n">
        <v>1200</v>
      </c>
      <c r="C11" s="11" t="n">
        <v>0</v>
      </c>
      <c r="D11" s="11" t="n">
        <v>100</v>
      </c>
      <c r="E11" s="12" t="inlineStr">
        <is>
          <t>~$1,200/yr ÷ 12</t>
        </is>
      </c>
    </row>
    <row r="12" ht="17" customHeight="1">
      <c r="A12" s="7" t="inlineStr">
        <is>
          <t>Gifts (birthdays, holidays)</t>
        </is>
      </c>
      <c r="B12" s="11" t="n">
        <v>600</v>
      </c>
      <c r="C12" s="11" t="n">
        <v>0</v>
      </c>
      <c r="D12" s="11" t="n">
        <v>50</v>
      </c>
      <c r="E12" s="12" t="inlineStr">
        <is>
          <t>so December isn't a shock</t>
        </is>
      </c>
    </row>
    <row r="13" ht="17" customHeight="1">
      <c r="A13" s="7" t="inlineStr">
        <is>
          <t>Great Wolf Lodge trip</t>
        </is>
      </c>
      <c r="B13" s="11" t="n">
        <v>800</v>
      </c>
      <c r="C13" s="11" t="n">
        <v>0</v>
      </c>
      <c r="D13" s="11" t="n">
        <v>70</v>
      </c>
      <c r="E13" s="12" t="inlineStr">
        <is>
          <t>the family trip — pick a date</t>
        </is>
      </c>
    </row>
    <row r="14" ht="17" customHeight="1">
      <c r="A14" s="7" t="inlineStr">
        <is>
          <t>Annual fees / renewals</t>
        </is>
      </c>
      <c r="B14" s="11" t="n">
        <v>300</v>
      </c>
      <c r="C14" s="11" t="n">
        <v>0</v>
      </c>
      <c r="D14" s="11" t="n">
        <v>25</v>
      </c>
      <c r="E14" s="12" t="inlineStr">
        <is>
          <t>any once-a-year charges</t>
        </is>
      </c>
    </row>
    <row r="15" ht="17" customHeight="1">
      <c r="A15" s="7" t="inlineStr">
        <is>
          <t>Buffer / misc</t>
        </is>
      </c>
      <c r="B15" s="11" t="n">
        <v>0</v>
      </c>
      <c r="C15" s="11" t="n">
        <v>0</v>
      </c>
      <c r="D15" s="11" t="n">
        <v>0</v>
      </c>
      <c r="E15" s="12" t="inlineStr">
        <is>
          <t>add your own</t>
        </is>
      </c>
    </row>
    <row r="16" ht="17" customHeight="1">
      <c r="A16" s="4" t="inlineStr">
        <is>
          <t>Total set aside each month</t>
        </is>
      </c>
      <c r="D16" s="13">
        <f>SUM(D6:D8)+SUM(D11:D15)</f>
        <v/>
      </c>
    </row>
  </sheetData>
  <pageMargins left="0.75" right="0.75" top="1" bottom="1" header="0.5" footer="0.5"/>
</worksheet>
</file>

<file path=xl/worksheets/sheet9.xml><?xml version="1.0" encoding="utf-8"?>
<worksheet xmlns="http://schemas.openxmlformats.org/spreadsheetml/2006/main">
  <sheetPr>
    <tabColor rgb="00D03B3B"/>
    <outlinePr summaryBelow="1" summaryRight="1"/>
    <pageSetUpPr/>
  </sheetPr>
  <dimension ref="A1:E12"/>
  <sheetViews>
    <sheetView showGridLines="1"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6" customWidth="1" min="5" max="5"/>
  </cols>
  <sheetData>
    <row r="1" ht="22" customHeight="1">
      <c r="A1" s="1" t="inlineStr">
        <is>
          <t>Vapes &amp; Convenience — the #1 target</t>
        </is>
      </c>
    </row>
    <row r="2" ht="17" customHeight="1">
      <c r="A2" s="2" t="inlineStr">
        <is>
          <t>Log the monthly total from each statement and watch it fall. Target: under $300/mo.</t>
        </is>
      </c>
    </row>
    <row r="3" ht="17" customHeight="1"/>
    <row r="4" ht="17" customHeight="1">
      <c r="A4" s="9" t="inlineStr">
        <is>
          <t>Month</t>
        </is>
      </c>
      <c r="B4" s="9" t="inlineStr">
        <is>
          <t>Total spent</t>
        </is>
      </c>
      <c r="C4" s="9" t="inlineStr">
        <is>
          <t>Target</t>
        </is>
      </c>
      <c r="D4" s="9" t="inlineStr">
        <is>
          <t>Under target?</t>
        </is>
      </c>
      <c r="E4" s="9" t="inlineStr">
        <is>
          <t>Notes</t>
        </is>
      </c>
    </row>
    <row r="5" ht="17" customHeight="1">
      <c r="A5" s="7" t="inlineStr">
        <is>
          <t>Jul 2026</t>
        </is>
      </c>
      <c r="B5" s="11" t="n">
        <v>1163</v>
      </c>
      <c r="C5" s="32" t="n">
        <v>300</v>
      </c>
      <c r="D5">
        <f>IF(B5&lt;=C5,"YES ✓","over by "&amp;TEXT(B5-C5,"$#,##0"))</f>
        <v/>
      </c>
    </row>
    <row r="6" ht="17" customHeight="1">
      <c r="A6" s="7" t="inlineStr">
        <is>
          <t>Aug 2026 (partial)</t>
        </is>
      </c>
      <c r="B6" s="11" t="n">
        <v>195</v>
      </c>
      <c r="C6" s="32" t="n">
        <v>300</v>
      </c>
      <c r="D6">
        <f>IF(B6&lt;=C6,"YES ✓","over by "&amp;TEXT(B6-C6,"$#,##0"))</f>
        <v/>
      </c>
    </row>
    <row r="7" ht="17" customHeight="1">
      <c r="A7" s="7" t="inlineStr">
        <is>
          <t>Sep 2026</t>
        </is>
      </c>
      <c r="B7" s="11" t="n"/>
      <c r="C7" s="15" t="n">
        <v>300</v>
      </c>
      <c r="D7">
        <f>IF(B7="","",IF(B7&lt;=C7,"YES ✓","over by "&amp;TEXT(B7-C7,"$#,##0")))</f>
        <v/>
      </c>
    </row>
    <row r="8" ht="17" customHeight="1">
      <c r="A8" s="7" t="inlineStr">
        <is>
          <t>Oct 2026</t>
        </is>
      </c>
      <c r="B8" s="11" t="n"/>
      <c r="C8" s="15" t="n">
        <v>300</v>
      </c>
      <c r="D8">
        <f>IF(B8="","",IF(B8&lt;=C8,"YES ✓","over by "&amp;TEXT(B8-C8,"$#,##0")))</f>
        <v/>
      </c>
    </row>
    <row r="9" ht="17" customHeight="1">
      <c r="A9" s="7" t="inlineStr">
        <is>
          <t>Nov 2026</t>
        </is>
      </c>
      <c r="B9" s="11" t="n"/>
      <c r="C9" s="15" t="n">
        <v>300</v>
      </c>
      <c r="D9">
        <f>IF(B9="","",IF(B9&lt;=C9,"YES ✓","over by "&amp;TEXT(B9-C9,"$#,##0")))</f>
        <v/>
      </c>
    </row>
    <row r="10" ht="17" customHeight="1">
      <c r="A10" s="7" t="inlineStr">
        <is>
          <t>Dec 2026</t>
        </is>
      </c>
      <c r="B10" s="11" t="n"/>
      <c r="C10" s="15" t="n">
        <v>300</v>
      </c>
      <c r="D10">
        <f>IF(B10="","",IF(B10&lt;=C10,"YES ✓","over by "&amp;TEXT(B10-C10,"$#,##0")))</f>
        <v/>
      </c>
    </row>
    <row r="11" ht="17" customHeight="1"/>
    <row r="12" ht="17" customHeight="1">
      <c r="A12" s="4" t="inlineStr">
        <is>
          <t>Freed each month if you hit target (vs July):</t>
        </is>
      </c>
      <c r="B12" s="40">
        <f>B5-C5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2026-08-18T21:21:29Z</dcterms:created>
  <dcterms:modified xmlns:dcterms="http://purl.org/dc/terms/" xmlns:xsi="http://www.w3.org/2001/XMLSchema-instance" xsi:type="dcterms:W3CDTF">2026-08-18T21:21:29Z</dcterms:modified>
</cp:coreProperties>
</file>